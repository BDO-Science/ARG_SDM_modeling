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isher\Downloads\"/>
    </mc:Choice>
  </mc:AlternateContent>
  <xr:revisionPtr revIDLastSave="0" documentId="13_ncr:1_{DA22AD44-84B4-41E1-AD56-06154D89EF03}" xr6:coauthVersionLast="47" xr6:coauthVersionMax="47" xr10:uidLastSave="{00000000-0000-0000-0000-000000000000}"/>
  <bookViews>
    <workbookView xWindow="-108" yWindow="-108" windowWidth="23256" windowHeight="12576" xr2:uid="{F8A4BE53-4D10-4BFD-8AB1-37119B643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5" i="1"/>
  <c r="I8" i="1"/>
  <c r="I9" i="1"/>
  <c r="I10" i="1"/>
  <c r="I11" i="1"/>
  <c r="I12" i="1"/>
  <c r="I13" i="1"/>
  <c r="I14" i="1"/>
  <c r="I15" i="1"/>
  <c r="I16" i="1"/>
  <c r="I17" i="1"/>
  <c r="I18" i="1"/>
  <c r="I20" i="1"/>
  <c r="I19" i="1"/>
  <c r="I21" i="1"/>
  <c r="I22" i="1"/>
  <c r="I23" i="1"/>
  <c r="I24" i="1"/>
  <c r="I25" i="1"/>
  <c r="I26" i="1"/>
  <c r="I27" i="1"/>
  <c r="I28" i="1"/>
  <c r="I30" i="1"/>
  <c r="I32" i="1"/>
  <c r="I31" i="1"/>
  <c r="I29" i="1"/>
  <c r="G7" i="1"/>
  <c r="I7" i="1" s="1"/>
  <c r="J7" i="1" s="1"/>
  <c r="G6" i="1"/>
  <c r="I6" i="1" s="1"/>
  <c r="J6" i="1" s="1"/>
  <c r="G4" i="1"/>
  <c r="I4" i="1" s="1"/>
  <c r="J4" i="1" s="1"/>
  <c r="G3" i="1"/>
  <c r="I3" i="1" s="1"/>
  <c r="J3" i="1" s="1"/>
</calcChain>
</file>

<file path=xl/sharedStrings.xml><?xml version="1.0" encoding="utf-8"?>
<sst xmlns="http://schemas.openxmlformats.org/spreadsheetml/2006/main" count="73" uniqueCount="46">
  <si>
    <t>CWT</t>
  </si>
  <si>
    <t>BY</t>
  </si>
  <si>
    <t xml:space="preserve">Release Date </t>
  </si>
  <si>
    <t>Release Location</t>
  </si>
  <si>
    <t># Released</t>
  </si>
  <si>
    <t>F prod</t>
  </si>
  <si>
    <t>06 04 23</t>
  </si>
  <si>
    <t>06 04 24</t>
  </si>
  <si>
    <t>06 04 25</t>
  </si>
  <si>
    <t>06 04 74</t>
  </si>
  <si>
    <t xml:space="preserve">06 04 75 </t>
  </si>
  <si>
    <t>06 04 76</t>
  </si>
  <si>
    <t>06 07 49</t>
  </si>
  <si>
    <t>06 07 50</t>
  </si>
  <si>
    <t>06 07 51</t>
  </si>
  <si>
    <t>06 07 52</t>
  </si>
  <si>
    <t>06 09 97</t>
  </si>
  <si>
    <t>06 09 98</t>
  </si>
  <si>
    <t>06 09 99</t>
  </si>
  <si>
    <t>06 12 01</t>
  </si>
  <si>
    <t>06 14 65</t>
  </si>
  <si>
    <t>06 14 66</t>
  </si>
  <si>
    <t>06 19 94</t>
  </si>
  <si>
    <t>06 19 95</t>
  </si>
  <si>
    <t>06 19 96</t>
  </si>
  <si>
    <t>06 19 97</t>
  </si>
  <si>
    <t>06 20 51</t>
  </si>
  <si>
    <t>06 20 52</t>
  </si>
  <si>
    <t>06 20 53</t>
  </si>
  <si>
    <t>06 20 57</t>
  </si>
  <si>
    <t>06 86 40</t>
  </si>
  <si>
    <t>06 86 79</t>
  </si>
  <si>
    <t>06 87 69</t>
  </si>
  <si>
    <t>AMERICAN R AT JIBBOOM</t>
  </si>
  <si>
    <t>AMERICAN R AT HOWE</t>
  </si>
  <si>
    <t>AMERICAN R AT SUNRISE</t>
  </si>
  <si>
    <t>Expanded returns by Fsamp</t>
  </si>
  <si>
    <t>Expanded Fsamp and Fprod</t>
  </si>
  <si>
    <t xml:space="preserve">SAR </t>
  </si>
  <si>
    <t>SAR%</t>
  </si>
  <si>
    <t>fpp</t>
  </si>
  <si>
    <t>06 86 77</t>
  </si>
  <si>
    <t>Discovery Park</t>
  </si>
  <si>
    <t>06 86 78</t>
  </si>
  <si>
    <t>06 87 67</t>
  </si>
  <si>
    <t>06 87 68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</si>
</sst>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E1014-E3F9-46E0-A0A7-6F8FABC6A5B1}" name="Table2" displayName="Table2" ref="A1:K32" totalsRowShown="0">
  <autoFilter ref="A1:K32" xr:uid="{439E1014-E3F9-46E0-A0A7-6F8FABC6A5B1}"/>
  <sortState xmlns:xlrd2="http://schemas.microsoft.com/office/spreadsheetml/2017/richdata2" ref="A2:K32">
    <sortCondition ref="C1:C32"/>
  </sortState>
  <tableColumns count="11">
    <tableColumn id="1" xr3:uid="{F7C7E588-4084-4CAD-99D6-D7E79728BE8D}" name="CWT"/>
    <tableColumn id="2" xr3:uid="{31E1544F-7B00-4B36-9C61-1CC01231AFA5}" name="BY"/>
    <tableColumn id="3" xr3:uid="{76BFE41A-852A-443C-8302-45288EA5931A}" name="Release Date "/>
    <tableColumn id="4" xr3:uid="{F8EA39C6-9A23-4705-BA5D-088C838B6CE4}" name="Release Location"/>
    <tableColumn id="23" xr3:uid="{378EE4C3-9ACB-461D-8AE6-DA106286060F}" name="fpp"/>
    <tableColumn id="6" xr3:uid="{CEC38081-49CF-4E38-8F5A-FA5E4AAEA35B}" name="# Released"/>
    <tableColumn id="11" xr3:uid="{32690CC3-8207-45C2-8B18-A1F4C7165AB3}" name="F prod" dataDxfId="3">
      <calculatedColumnFormula>#REF!/#REF!</calculatedColumnFormula>
    </tableColumn>
    <tableColumn id="20" xr3:uid="{BFF1D95F-61B6-4B3B-8630-8B3C890B063A}" name="Expanded returns by Fsamp"/>
    <tableColumn id="21" xr3:uid="{6F4B0C8B-87E8-464C-A528-AA16EBE97DF2}" name="Expanded Fsamp and Fprod" dataDxfId="0">
      <calculatedColumnFormula>H2*G2</calculatedColumnFormula>
    </tableColumn>
    <tableColumn id="22" xr3:uid="{891D89CA-13BE-467C-84C3-4574D11D50ED}" name="SAR " dataDxfId="1">
      <calculatedColumnFormula>Table2[[#This Row],[Expanded Fsamp and Fprod]]/Table2[[#This Row],['# Released]]</calculatedColumnFormula>
    </tableColumn>
    <tableColumn id="14" xr3:uid="{B9DAC5FE-2718-4A02-B767-A58D21AECD65}" name="SAR%" dataDxfId="2">
      <calculatedColumnFormula>Table2[[#This Row],[Expanded Fsamp and Fprod]]/Table2[[#This Row],['# Released]]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6349-C9F3-4832-A648-FF7161964E94}">
  <dimension ref="A1:K32"/>
  <sheetViews>
    <sheetView tabSelected="1" zoomScale="110" zoomScaleNormal="110" workbookViewId="0">
      <selection activeCell="O1" sqref="O1"/>
    </sheetView>
  </sheetViews>
  <sheetFormatPr defaultRowHeight="15" x14ac:dyDescent="0.25"/>
  <cols>
    <col min="1" max="1" width="8.28515625" bestFit="1" customWidth="1"/>
    <col min="2" max="2" width="5.5703125" bestFit="1" customWidth="1"/>
    <col min="3" max="3" width="15.85546875" bestFit="1" customWidth="1"/>
    <col min="4" max="4" width="23.140625" bestFit="1" customWidth="1"/>
    <col min="5" max="5" width="9.140625" customWidth="1"/>
    <col min="6" max="6" width="13.140625" bestFit="1" customWidth="1"/>
    <col min="7" max="7" width="8.85546875" bestFit="1" customWidth="1"/>
    <col min="8" max="10" width="8.85546875" customWidth="1"/>
    <col min="11" max="11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</v>
      </c>
      <c r="G1" t="s">
        <v>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t="s">
        <v>30</v>
      </c>
      <c r="B2">
        <v>2008</v>
      </c>
      <c r="C2" s="1">
        <v>39959</v>
      </c>
      <c r="D2" t="s">
        <v>35</v>
      </c>
      <c r="E2">
        <v>57</v>
      </c>
      <c r="F2">
        <v>270000</v>
      </c>
      <c r="G2">
        <v>1.0112245929821013</v>
      </c>
      <c r="H2">
        <v>155.85</v>
      </c>
      <c r="I2">
        <f>H2*G2</f>
        <v>157.59935281626048</v>
      </c>
      <c r="J2">
        <v>5.8370130672689069E-4</v>
      </c>
      <c r="K2" s="2">
        <v>5.8370130672689069E-4</v>
      </c>
    </row>
    <row r="3" spans="1:11" x14ac:dyDescent="0.25">
      <c r="A3" t="s">
        <v>41</v>
      </c>
      <c r="B3">
        <v>2009</v>
      </c>
      <c r="C3" s="1">
        <v>40308</v>
      </c>
      <c r="D3" t="s">
        <v>42</v>
      </c>
      <c r="E3">
        <v>60</v>
      </c>
      <c r="F3">
        <v>1572040</v>
      </c>
      <c r="G3" s="3">
        <f>F3/389432</f>
        <v>4.0367509603730563</v>
      </c>
      <c r="H3">
        <v>3748.73</v>
      </c>
      <c r="I3" s="3">
        <f>H3*G3</f>
        <v>15132.689427679286</v>
      </c>
      <c r="J3" s="3">
        <f>I3/F3</f>
        <v>9.6261478255510579E-3</v>
      </c>
      <c r="K3" s="2">
        <v>9.6261478255510579E-3</v>
      </c>
    </row>
    <row r="4" spans="1:11" x14ac:dyDescent="0.25">
      <c r="A4" t="s">
        <v>43</v>
      </c>
      <c r="B4">
        <v>2009</v>
      </c>
      <c r="C4" s="1">
        <v>40308</v>
      </c>
      <c r="D4" t="s">
        <v>42</v>
      </c>
      <c r="E4">
        <v>54</v>
      </c>
      <c r="F4">
        <v>1374583</v>
      </c>
      <c r="G4" s="3">
        <f>F4/343111</f>
        <v>4.0062341341431784</v>
      </c>
      <c r="H4">
        <v>2433.66</v>
      </c>
      <c r="I4" s="3">
        <f>H4*G4</f>
        <v>9749.8117628988875</v>
      </c>
      <c r="J4" s="3">
        <f>I4/F4</f>
        <v>7.0929232813870735E-3</v>
      </c>
      <c r="K4" s="2">
        <v>7.0929232813870735E-3</v>
      </c>
    </row>
    <row r="5" spans="1:11" x14ac:dyDescent="0.25">
      <c r="A5" t="s">
        <v>31</v>
      </c>
      <c r="B5">
        <v>2009</v>
      </c>
      <c r="C5" s="1">
        <v>40332</v>
      </c>
      <c r="D5" t="s">
        <v>35</v>
      </c>
      <c r="E5">
        <v>53</v>
      </c>
      <c r="F5">
        <v>274514</v>
      </c>
      <c r="G5">
        <v>1.0242448212047042</v>
      </c>
      <c r="H5">
        <v>1467.8</v>
      </c>
      <c r="I5">
        <f>H5*G5</f>
        <v>1503.3865485642648</v>
      </c>
      <c r="J5">
        <v>5.4765387141066206E-3</v>
      </c>
      <c r="K5" s="2">
        <v>5.4765387141066206E-3</v>
      </c>
    </row>
    <row r="6" spans="1:11" x14ac:dyDescent="0.25">
      <c r="A6" t="s">
        <v>44</v>
      </c>
      <c r="B6">
        <v>2010</v>
      </c>
      <c r="C6" s="1">
        <v>40668</v>
      </c>
      <c r="D6" t="s">
        <v>42</v>
      </c>
      <c r="E6">
        <v>67.599999999999994</v>
      </c>
      <c r="F6">
        <v>1467625</v>
      </c>
      <c r="G6" s="3">
        <f>F6/366781</f>
        <v>4.0013659377121495</v>
      </c>
      <c r="H6">
        <v>2825.86</v>
      </c>
      <c r="I6" s="3">
        <f>H6*G6</f>
        <v>11307.299948743255</v>
      </c>
      <c r="J6" s="3">
        <f>I6/F6</f>
        <v>7.7044885094920404E-3</v>
      </c>
      <c r="K6" s="2">
        <v>7.7044885094920404E-3</v>
      </c>
    </row>
    <row r="7" spans="1:11" x14ac:dyDescent="0.25">
      <c r="A7" t="s">
        <v>45</v>
      </c>
      <c r="B7">
        <v>2010</v>
      </c>
      <c r="C7" s="1">
        <v>40669</v>
      </c>
      <c r="D7" t="s">
        <v>42</v>
      </c>
      <c r="E7">
        <v>90</v>
      </c>
      <c r="F7">
        <v>1521072</v>
      </c>
      <c r="G7" s="3">
        <f>F7/378804</f>
        <v>4.0154591820572119</v>
      </c>
      <c r="H7">
        <v>2225.94</v>
      </c>
      <c r="I7" s="3">
        <f>H7*G7</f>
        <v>8938.1712117084298</v>
      </c>
      <c r="J7" s="3">
        <f>I7/F7</f>
        <v>5.8762315075870375E-3</v>
      </c>
      <c r="K7" s="2">
        <v>5.8762315075870375E-3</v>
      </c>
    </row>
    <row r="8" spans="1:11" x14ac:dyDescent="0.25">
      <c r="A8" t="s">
        <v>32</v>
      </c>
      <c r="B8">
        <v>2010</v>
      </c>
      <c r="C8" s="1">
        <v>40704</v>
      </c>
      <c r="D8" t="s">
        <v>35</v>
      </c>
      <c r="E8">
        <v>52.5</v>
      </c>
      <c r="F8">
        <v>271171</v>
      </c>
      <c r="G8">
        <v>1.0089896001934848</v>
      </c>
      <c r="H8">
        <v>2556.7399999999998</v>
      </c>
      <c r="I8">
        <f>H8*G8</f>
        <v>2579.7240703986899</v>
      </c>
      <c r="J8">
        <v>9.5132741716433163E-3</v>
      </c>
      <c r="K8" s="2">
        <v>9.5132741716433163E-3</v>
      </c>
    </row>
    <row r="9" spans="1:11" x14ac:dyDescent="0.25">
      <c r="A9" t="s">
        <v>6</v>
      </c>
      <c r="B9">
        <v>2011</v>
      </c>
      <c r="C9" s="1">
        <v>41037</v>
      </c>
      <c r="D9" t="s">
        <v>33</v>
      </c>
      <c r="E9">
        <v>55</v>
      </c>
      <c r="F9">
        <v>1607924</v>
      </c>
      <c r="G9">
        <v>4.0118965340865147</v>
      </c>
      <c r="H9">
        <v>1288.28</v>
      </c>
      <c r="I9">
        <f>H9*G9</f>
        <v>5168.4460669329746</v>
      </c>
      <c r="J9">
        <v>3.2143596755399972E-3</v>
      </c>
      <c r="K9" s="2">
        <v>3.2143596755399972E-3</v>
      </c>
    </row>
    <row r="10" spans="1:11" x14ac:dyDescent="0.25">
      <c r="A10" t="s">
        <v>7</v>
      </c>
      <c r="B10">
        <v>2011</v>
      </c>
      <c r="C10" s="1">
        <v>41038</v>
      </c>
      <c r="D10" t="s">
        <v>33</v>
      </c>
      <c r="E10">
        <v>67</v>
      </c>
      <c r="F10">
        <v>1608781</v>
      </c>
      <c r="G10">
        <v>4.0020025174505092</v>
      </c>
      <c r="H10">
        <v>532.12</v>
      </c>
      <c r="I10">
        <f>H10*G10</f>
        <v>2129.5455795857652</v>
      </c>
      <c r="J10">
        <v>1.3237013487763501E-3</v>
      </c>
      <c r="K10" s="2">
        <v>1.3237013487763501E-3</v>
      </c>
    </row>
    <row r="11" spans="1:11" x14ac:dyDescent="0.25">
      <c r="A11" t="s">
        <v>8</v>
      </c>
      <c r="B11">
        <v>2011</v>
      </c>
      <c r="C11" s="1">
        <v>41038</v>
      </c>
      <c r="D11" t="s">
        <v>33</v>
      </c>
      <c r="E11">
        <v>87</v>
      </c>
      <c r="F11">
        <v>275408</v>
      </c>
      <c r="G11">
        <v>1</v>
      </c>
      <c r="H11">
        <v>244.67</v>
      </c>
      <c r="I11">
        <f>H11*G11</f>
        <v>244.67</v>
      </c>
      <c r="J11">
        <v>8.8839104165456336E-4</v>
      </c>
      <c r="K11" s="2">
        <v>8.8839104165456336E-4</v>
      </c>
    </row>
    <row r="12" spans="1:11" x14ac:dyDescent="0.25">
      <c r="A12" t="s">
        <v>9</v>
      </c>
      <c r="B12">
        <v>2012</v>
      </c>
      <c r="C12" s="1">
        <v>41400</v>
      </c>
      <c r="D12" t="s">
        <v>33</v>
      </c>
      <c r="E12">
        <v>68</v>
      </c>
      <c r="F12">
        <v>1502388</v>
      </c>
      <c r="G12">
        <v>4.017950411720185</v>
      </c>
      <c r="H12">
        <v>883.78</v>
      </c>
      <c r="I12">
        <f>H12*G12</f>
        <v>3550.984214870065</v>
      </c>
      <c r="J12">
        <v>2.363560022357783E-3</v>
      </c>
      <c r="K12" s="2">
        <v>2.363560022357783E-3</v>
      </c>
    </row>
    <row r="13" spans="1:11" x14ac:dyDescent="0.25">
      <c r="A13" t="s">
        <v>10</v>
      </c>
      <c r="B13">
        <v>2012</v>
      </c>
      <c r="C13" s="1">
        <v>41400</v>
      </c>
      <c r="D13" t="s">
        <v>33</v>
      </c>
      <c r="E13">
        <v>80</v>
      </c>
      <c r="F13">
        <v>1495203</v>
      </c>
      <c r="G13">
        <v>4.0020743722681855</v>
      </c>
      <c r="H13">
        <v>629.51</v>
      </c>
      <c r="I13">
        <f>H13*G13</f>
        <v>2519.3458380865454</v>
      </c>
      <c r="J13">
        <v>1.684952369736113E-3</v>
      </c>
      <c r="K13" s="2">
        <v>1.684952369736113E-3</v>
      </c>
    </row>
    <row r="14" spans="1:11" x14ac:dyDescent="0.25">
      <c r="A14" t="s">
        <v>11</v>
      </c>
      <c r="B14">
        <v>2012</v>
      </c>
      <c r="C14" s="1">
        <v>41401</v>
      </c>
      <c r="D14" t="s">
        <v>34</v>
      </c>
      <c r="E14">
        <v>102</v>
      </c>
      <c r="F14">
        <v>280003</v>
      </c>
      <c r="G14">
        <v>1.0022263503960542</v>
      </c>
      <c r="H14">
        <v>519.91</v>
      </c>
      <c r="I14">
        <f>H14*G14</f>
        <v>521.0675018344125</v>
      </c>
      <c r="J14">
        <v>1.8609354251004899E-3</v>
      </c>
      <c r="K14" s="2">
        <v>1.8609354251004899E-3</v>
      </c>
    </row>
    <row r="15" spans="1:11" x14ac:dyDescent="0.25">
      <c r="A15" t="s">
        <v>12</v>
      </c>
      <c r="B15">
        <v>2015</v>
      </c>
      <c r="C15" s="1">
        <v>42504</v>
      </c>
      <c r="D15" t="s">
        <v>33</v>
      </c>
      <c r="E15">
        <v>58</v>
      </c>
      <c r="F15">
        <v>692918</v>
      </c>
      <c r="G15">
        <v>4.0014436930824004</v>
      </c>
      <c r="H15">
        <v>146.4</v>
      </c>
      <c r="I15">
        <f>H15*G15</f>
        <v>585.81135666726345</v>
      </c>
      <c r="J15">
        <v>8.4542666905357267E-4</v>
      </c>
      <c r="K15" s="2">
        <v>8.4542666905357267E-4</v>
      </c>
    </row>
    <row r="16" spans="1:11" x14ac:dyDescent="0.25">
      <c r="A16" t="s">
        <v>13</v>
      </c>
      <c r="B16">
        <v>2015</v>
      </c>
      <c r="C16" s="1">
        <v>42504</v>
      </c>
      <c r="D16" t="s">
        <v>35</v>
      </c>
      <c r="E16">
        <v>73.5</v>
      </c>
      <c r="F16">
        <v>694102</v>
      </c>
      <c r="G16">
        <v>4.0013489597445044</v>
      </c>
      <c r="H16">
        <v>77.47</v>
      </c>
      <c r="I16">
        <f>H16*G16</f>
        <v>309.98450391140676</v>
      </c>
      <c r="J16">
        <v>4.4659791199478863E-4</v>
      </c>
      <c r="K16" s="2">
        <v>4.4659791199478863E-4</v>
      </c>
    </row>
    <row r="17" spans="1:11" x14ac:dyDescent="0.25">
      <c r="A17" t="s">
        <v>14</v>
      </c>
      <c r="B17">
        <v>2015</v>
      </c>
      <c r="C17" s="1">
        <v>42511</v>
      </c>
      <c r="D17" t="s">
        <v>33</v>
      </c>
      <c r="E17">
        <v>66</v>
      </c>
      <c r="F17">
        <v>689304</v>
      </c>
      <c r="G17">
        <v>4.0012538311507386</v>
      </c>
      <c r="H17">
        <v>101.55</v>
      </c>
      <c r="I17">
        <f>H17*G17</f>
        <v>406.32732655335752</v>
      </c>
      <c r="J17">
        <v>5.8947478406241296E-4</v>
      </c>
      <c r="K17" s="2">
        <v>5.8947478406241296E-4</v>
      </c>
    </row>
    <row r="18" spans="1:11" x14ac:dyDescent="0.25">
      <c r="A18" t="s">
        <v>15</v>
      </c>
      <c r="B18">
        <v>2015</v>
      </c>
      <c r="C18" s="1">
        <v>42511</v>
      </c>
      <c r="D18" t="s">
        <v>35</v>
      </c>
      <c r="E18">
        <v>78</v>
      </c>
      <c r="F18">
        <v>693788</v>
      </c>
      <c r="G18">
        <v>4.0020997254205222</v>
      </c>
      <c r="H18">
        <v>71.36</v>
      </c>
      <c r="I18">
        <f>H18*G18</f>
        <v>285.58983640600849</v>
      </c>
      <c r="J18">
        <v>4.1163847804517878E-4</v>
      </c>
      <c r="K18" s="2">
        <v>4.1163847804517878E-4</v>
      </c>
    </row>
    <row r="19" spans="1:11" x14ac:dyDescent="0.25">
      <c r="A19" t="s">
        <v>17</v>
      </c>
      <c r="B19">
        <v>2016</v>
      </c>
      <c r="C19" s="1">
        <v>42879</v>
      </c>
      <c r="D19" t="s">
        <v>35</v>
      </c>
      <c r="E19">
        <v>79</v>
      </c>
      <c r="F19">
        <v>605104</v>
      </c>
      <c r="G19">
        <v>4.0011637748624631</v>
      </c>
      <c r="H19">
        <v>787.91</v>
      </c>
      <c r="I19">
        <f>H19*G19</f>
        <v>3152.556949851883</v>
      </c>
      <c r="J19">
        <v>5.2099423402454503E-3</v>
      </c>
      <c r="K19" s="2">
        <v>5.2099423402454503E-3</v>
      </c>
    </row>
    <row r="20" spans="1:11" x14ac:dyDescent="0.25">
      <c r="A20" t="s">
        <v>16</v>
      </c>
      <c r="B20">
        <v>2016</v>
      </c>
      <c r="C20" s="1">
        <v>42879</v>
      </c>
      <c r="D20" t="s">
        <v>33</v>
      </c>
      <c r="E20">
        <v>64.7</v>
      </c>
      <c r="F20">
        <v>617902</v>
      </c>
      <c r="G20">
        <v>4.0063151615747703</v>
      </c>
      <c r="H20">
        <v>774.62</v>
      </c>
      <c r="I20">
        <f>H20*G20</f>
        <v>3103.3718504590488</v>
      </c>
      <c r="J20">
        <v>5.0224337361896368E-3</v>
      </c>
      <c r="K20" s="2">
        <v>5.0224337361896368E-3</v>
      </c>
    </row>
    <row r="21" spans="1:11" x14ac:dyDescent="0.25">
      <c r="A21" t="s">
        <v>18</v>
      </c>
      <c r="B21">
        <v>2016</v>
      </c>
      <c r="C21" s="1">
        <v>42886</v>
      </c>
      <c r="D21" t="s">
        <v>33</v>
      </c>
      <c r="E21">
        <v>62.8</v>
      </c>
      <c r="F21">
        <v>591860</v>
      </c>
      <c r="G21">
        <v>4.0053326836662873</v>
      </c>
      <c r="H21">
        <v>914.75</v>
      </c>
      <c r="I21">
        <f>H21*G21</f>
        <v>3663.8780723837363</v>
      </c>
      <c r="J21">
        <v>6.1904471874830811E-3</v>
      </c>
      <c r="K21" s="2">
        <v>6.1904471874830811E-3</v>
      </c>
    </row>
    <row r="22" spans="1:11" x14ac:dyDescent="0.25">
      <c r="A22" t="s">
        <v>19</v>
      </c>
      <c r="B22">
        <v>2016</v>
      </c>
      <c r="C22" s="1">
        <v>42886</v>
      </c>
      <c r="D22" t="s">
        <v>35</v>
      </c>
      <c r="E22">
        <v>62.6</v>
      </c>
      <c r="F22">
        <v>552695</v>
      </c>
      <c r="G22">
        <v>4.0015855892382657</v>
      </c>
      <c r="H22">
        <v>820.13</v>
      </c>
      <c r="I22">
        <f>H22*G22</f>
        <v>3281.8203893019786</v>
      </c>
      <c r="J22">
        <v>5.9378506939667961E-3</v>
      </c>
      <c r="K22" s="2">
        <v>5.9378506939667961E-3</v>
      </c>
    </row>
    <row r="23" spans="1:11" x14ac:dyDescent="0.25">
      <c r="A23" t="s">
        <v>20</v>
      </c>
      <c r="B23">
        <v>2017</v>
      </c>
      <c r="C23" s="1">
        <v>43230</v>
      </c>
      <c r="D23" t="s">
        <v>33</v>
      </c>
      <c r="E23">
        <v>52</v>
      </c>
      <c r="F23">
        <v>669076</v>
      </c>
      <c r="G23">
        <v>4.0014353294380083</v>
      </c>
      <c r="H23">
        <v>51.44</v>
      </c>
      <c r="I23">
        <f>H23*G23</f>
        <v>205.83383334629113</v>
      </c>
      <c r="J23">
        <v>3.0763894287986885E-4</v>
      </c>
      <c r="K23" s="2">
        <v>3.0763894287986885E-4</v>
      </c>
    </row>
    <row r="24" spans="1:11" x14ac:dyDescent="0.25">
      <c r="A24" t="s">
        <v>21</v>
      </c>
      <c r="B24">
        <v>2017</v>
      </c>
      <c r="C24" s="1">
        <v>43230</v>
      </c>
      <c r="D24" t="s">
        <v>35</v>
      </c>
      <c r="E24">
        <v>61</v>
      </c>
      <c r="F24">
        <v>667651</v>
      </c>
      <c r="G24">
        <v>4.0017921576619235</v>
      </c>
      <c r="H24">
        <v>29.24</v>
      </c>
      <c r="I24">
        <f>H24*G24</f>
        <v>117.01240269003463</v>
      </c>
      <c r="J24">
        <v>1.7525983289178723E-4</v>
      </c>
      <c r="K24" s="2">
        <v>1.7525983289178723E-4</v>
      </c>
    </row>
    <row r="25" spans="1:11" x14ac:dyDescent="0.25">
      <c r="A25" t="s">
        <v>22</v>
      </c>
      <c r="B25">
        <v>2018</v>
      </c>
      <c r="C25" s="1">
        <v>43567</v>
      </c>
      <c r="D25" t="s">
        <v>35</v>
      </c>
      <c r="E25">
        <v>110</v>
      </c>
      <c r="F25">
        <v>199865</v>
      </c>
      <c r="G25">
        <v>1.0029104046967909</v>
      </c>
      <c r="H25">
        <v>241.41</v>
      </c>
      <c r="I25">
        <f>H25*G25</f>
        <v>242.11260079785231</v>
      </c>
      <c r="J25">
        <v>1.2113806859522793E-3</v>
      </c>
      <c r="K25" s="2">
        <v>1.2113806859522793E-3</v>
      </c>
    </row>
    <row r="26" spans="1:11" x14ac:dyDescent="0.25">
      <c r="A26" t="s">
        <v>23</v>
      </c>
      <c r="B26">
        <v>2018</v>
      </c>
      <c r="C26" s="1">
        <v>43591</v>
      </c>
      <c r="D26" t="s">
        <v>35</v>
      </c>
      <c r="E26">
        <v>61.5</v>
      </c>
      <c r="F26">
        <v>801491</v>
      </c>
      <c r="G26">
        <v>4.010804021357834</v>
      </c>
      <c r="H26">
        <v>188.28</v>
      </c>
      <c r="I26">
        <f>H26*G26</f>
        <v>755.15418114125293</v>
      </c>
      <c r="J26">
        <v>9.4218672591613994E-4</v>
      </c>
      <c r="K26" s="2">
        <v>9.4218672591613994E-4</v>
      </c>
    </row>
    <row r="27" spans="1:11" x14ac:dyDescent="0.25">
      <c r="A27" t="s">
        <v>24</v>
      </c>
      <c r="B27">
        <v>2018</v>
      </c>
      <c r="C27" s="1">
        <v>43600</v>
      </c>
      <c r="D27" t="s">
        <v>35</v>
      </c>
      <c r="E27">
        <v>70</v>
      </c>
      <c r="F27">
        <v>800800</v>
      </c>
      <c r="G27">
        <v>4.0108183912651505</v>
      </c>
      <c r="H27">
        <v>298.86</v>
      </c>
      <c r="I27">
        <f>H27*G27</f>
        <v>1198.6731844135029</v>
      </c>
      <c r="J27">
        <v>1.4968446358809976E-3</v>
      </c>
      <c r="K27" s="2">
        <v>1.4968446358809976E-3</v>
      </c>
    </row>
    <row r="28" spans="1:11" x14ac:dyDescent="0.25">
      <c r="A28" t="s">
        <v>25</v>
      </c>
      <c r="B28">
        <v>2018</v>
      </c>
      <c r="C28" s="1">
        <v>43600</v>
      </c>
      <c r="D28" t="s">
        <v>35</v>
      </c>
      <c r="E28">
        <v>77</v>
      </c>
      <c r="F28">
        <v>800162</v>
      </c>
      <c r="G28">
        <v>4.019460295772384</v>
      </c>
      <c r="H28">
        <v>296.8</v>
      </c>
      <c r="I28">
        <f>H28*G28</f>
        <v>1192.9758157852436</v>
      </c>
      <c r="J28">
        <v>1.4909178588651344E-3</v>
      </c>
      <c r="K28" s="2">
        <v>1.4909178588651344E-3</v>
      </c>
    </row>
    <row r="29" spans="1:11" x14ac:dyDescent="0.25">
      <c r="A29" t="s">
        <v>29</v>
      </c>
      <c r="B29">
        <v>2019</v>
      </c>
      <c r="C29" s="1">
        <v>43920</v>
      </c>
      <c r="D29" t="s">
        <v>35</v>
      </c>
      <c r="E29">
        <v>110</v>
      </c>
      <c r="F29">
        <v>200481</v>
      </c>
      <c r="G29">
        <v>1.0030068040824496</v>
      </c>
      <c r="H29">
        <v>227.57</v>
      </c>
      <c r="I29">
        <f>H29*G29</f>
        <v>228.25425840504303</v>
      </c>
      <c r="J29">
        <v>1.1385331198719231E-3</v>
      </c>
      <c r="K29" s="2">
        <v>1.1385331198719231E-3</v>
      </c>
    </row>
    <row r="30" spans="1:11" x14ac:dyDescent="0.25">
      <c r="A30" t="s">
        <v>26</v>
      </c>
      <c r="B30">
        <v>2019</v>
      </c>
      <c r="C30" s="1">
        <v>43943</v>
      </c>
      <c r="D30" t="s">
        <v>35</v>
      </c>
      <c r="E30">
        <v>58.6</v>
      </c>
      <c r="F30">
        <v>800627</v>
      </c>
      <c r="G30">
        <v>4.0131880360302556</v>
      </c>
      <c r="H30">
        <v>219.34</v>
      </c>
      <c r="I30">
        <f>H30*G30</f>
        <v>880.25266382287634</v>
      </c>
      <c r="J30">
        <v>1.0994541326021685E-3</v>
      </c>
      <c r="K30" s="2">
        <v>1.0994541326021685E-3</v>
      </c>
    </row>
    <row r="31" spans="1:11" x14ac:dyDescent="0.25">
      <c r="A31" t="s">
        <v>28</v>
      </c>
      <c r="B31">
        <v>2019</v>
      </c>
      <c r="C31" s="1">
        <v>43957</v>
      </c>
      <c r="D31" t="s">
        <v>35</v>
      </c>
      <c r="E31">
        <v>67</v>
      </c>
      <c r="F31">
        <v>791623</v>
      </c>
      <c r="G31">
        <v>4.0158427393785665</v>
      </c>
      <c r="H31">
        <v>844.26</v>
      </c>
      <c r="I31">
        <f>H31*G31</f>
        <v>3390.4153911477483</v>
      </c>
      <c r="J31">
        <v>4.2828662016486992E-3</v>
      </c>
      <c r="K31" s="2">
        <v>4.2828662016486992E-3</v>
      </c>
    </row>
    <row r="32" spans="1:11" x14ac:dyDescent="0.25">
      <c r="A32" t="s">
        <v>27</v>
      </c>
      <c r="B32">
        <v>2019</v>
      </c>
      <c r="C32" s="1">
        <v>43957</v>
      </c>
      <c r="D32" t="s">
        <v>35</v>
      </c>
      <c r="E32">
        <v>64</v>
      </c>
      <c r="F32">
        <v>802223</v>
      </c>
      <c r="G32">
        <v>4.0118571935808127</v>
      </c>
      <c r="H32">
        <v>755.31</v>
      </c>
      <c r="I32">
        <f>H32*G32</f>
        <v>3030.1958568835234</v>
      </c>
      <c r="J32">
        <v>3.7772487910263399E-3</v>
      </c>
      <c r="K32" s="2">
        <v>3.7772487910263399E-3</v>
      </c>
    </row>
  </sheetData>
  <sheetProtection sheet="1" objects="1" scenarios="1" sort="0" autoFilter="0"/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FD0B63B573514B8FD74495E87D29A1" ma:contentTypeVersion="16" ma:contentTypeDescription="Create a new document." ma:contentTypeScope="" ma:versionID="5d81b93fb82fe658dfbf167f1aa6a01e">
  <xsd:schema xmlns:xsd="http://www.w3.org/2001/XMLSchema" xmlns:xs="http://www.w3.org/2001/XMLSchema" xmlns:p="http://schemas.microsoft.com/office/2006/metadata/properties" xmlns:ns3="bb0a5e5b-2bae-4198-b0d8-00929f1a3553" xmlns:ns4="bf5d8a3a-8283-45cd-a878-28bd4f7b4f21" targetNamespace="http://schemas.microsoft.com/office/2006/metadata/properties" ma:root="true" ma:fieldsID="bd33e46d0a306b7f01272e1d0a3bc990" ns3:_="" ns4:_="">
    <xsd:import namespace="bb0a5e5b-2bae-4198-b0d8-00929f1a3553"/>
    <xsd:import namespace="bf5d8a3a-8283-45cd-a878-28bd4f7b4f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a5e5b-2bae-4198-b0d8-00929f1a35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d8a3a-8283-45cd-a878-28bd4f7b4f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0a5e5b-2bae-4198-b0d8-00929f1a3553" xsi:nil="true"/>
  </documentManagement>
</p:properties>
</file>

<file path=customXml/itemProps1.xml><?xml version="1.0" encoding="utf-8"?>
<ds:datastoreItem xmlns:ds="http://schemas.openxmlformats.org/officeDocument/2006/customXml" ds:itemID="{DD1F2D21-3425-472E-BE17-6E34364F17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a5e5b-2bae-4198-b0d8-00929f1a3553"/>
    <ds:schemaRef ds:uri="bf5d8a3a-8283-45cd-a878-28bd4f7b4f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30B649-2296-4EB3-9ED4-57511AFD75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9D1EE5-BD57-4FA4-806C-C6F8520C1795}">
  <ds:schemaRefs>
    <ds:schemaRef ds:uri="http://purl.org/dc/terms/"/>
    <ds:schemaRef ds:uri="bf5d8a3a-8283-45cd-a878-28bd4f7b4f2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b0a5e5b-2bae-4198-b0d8-00929f1a355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CDFW</dc:creator>
  <cp:lastModifiedBy>CDFW</cp:lastModifiedBy>
  <dcterms:created xsi:type="dcterms:W3CDTF">2025-08-01T18:29:25Z</dcterms:created>
  <dcterms:modified xsi:type="dcterms:W3CDTF">2025-08-01T23:12:44Z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0x010100D7FD0B63B573514B8FD74495E87D29A1</vt:lpwstr>
  </property>
</Properties>
</file>