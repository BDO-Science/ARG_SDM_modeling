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leinschmidtgroup-my.sharepoint.com/personal/vanessa_martinez_kleinschmidtgroup_com/Documents/ARG Modeling/2026 Modeling/Bypass Modeling/"/>
    </mc:Choice>
  </mc:AlternateContent>
  <xr:revisionPtr revIDLastSave="40" documentId="8_{5658D1E8-EA89-442E-874E-320AFF75C1B4}" xr6:coauthVersionLast="47" xr6:coauthVersionMax="47" xr10:uidLastSave="{A309DE6A-CCDC-4970-877C-0BA2AE964E8E}"/>
  <bookViews>
    <workbookView xWindow="-96" yWindow="-96" windowWidth="23232" windowHeight="13872" activeTab="1" xr2:uid="{0FFA24DF-1895-426F-A118-6AEDB1DAD1A6}"/>
  </bookViews>
  <sheets>
    <sheet name="Sheet1" sheetId="1" r:id="rId1"/>
    <sheet name="Timese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2" i="2"/>
  <c r="G16" i="1"/>
  <c r="G14" i="1"/>
  <c r="G11" i="1"/>
  <c r="G7" i="1"/>
</calcChain>
</file>

<file path=xl/sharedStrings.xml><?xml version="1.0" encoding="utf-8"?>
<sst xmlns="http://schemas.openxmlformats.org/spreadsheetml/2006/main" count="36" uniqueCount="31">
  <si>
    <t>Scenario Name</t>
  </si>
  <si>
    <t>Description</t>
  </si>
  <si>
    <t>Bypass Volume, AF</t>
  </si>
  <si>
    <t>Scenario 1</t>
  </si>
  <si>
    <t>250 cfs starting Oct 15th</t>
  </si>
  <si>
    <t>500 cfs on Oct 28th</t>
  </si>
  <si>
    <t>250 cfs on Nov 14th</t>
  </si>
  <si>
    <r>
      <t>End bypass on Nov 30</t>
    </r>
    <r>
      <rPr>
        <vertAlign val="superscript"/>
        <sz val="11"/>
        <color rgb="FF000000"/>
        <rFont val="Inherit"/>
      </rPr>
      <t>th</t>
    </r>
  </si>
  <si>
    <t>Scenario 2</t>
  </si>
  <si>
    <r>
      <t>250 cfs starting Oct 21</t>
    </r>
    <r>
      <rPr>
        <vertAlign val="superscript"/>
        <sz val="11"/>
        <color rgb="FF000000"/>
        <rFont val="Inherit"/>
      </rPr>
      <t>st</t>
    </r>
  </si>
  <si>
    <r>
      <t>500 cfs on Oct 28</t>
    </r>
    <r>
      <rPr>
        <vertAlign val="superscript"/>
        <sz val="11"/>
        <color rgb="FF000000"/>
        <rFont val="Inherit"/>
      </rPr>
      <t>th</t>
    </r>
  </si>
  <si>
    <t>250 cfs on Nov 7th,</t>
  </si>
  <si>
    <t>End bypass on Nov 21st</t>
  </si>
  <si>
    <t>Scenario 3</t>
  </si>
  <si>
    <r>
      <t>500 cfs bypass starting Oct 28</t>
    </r>
    <r>
      <rPr>
        <vertAlign val="superscript"/>
        <sz val="11"/>
        <color rgb="FF000000"/>
        <rFont val="Inherit"/>
      </rPr>
      <t>th</t>
    </r>
  </si>
  <si>
    <t>End bypass on Nov 30th</t>
  </si>
  <si>
    <t>Scenario 4</t>
  </si>
  <si>
    <t>500 cfs cfs Oct 15</t>
  </si>
  <si>
    <t>End bypass Nov 30th</t>
  </si>
  <si>
    <t>No Bypass - ATSP 41</t>
  </si>
  <si>
    <t>No Bypass - ATSP 38</t>
  </si>
  <si>
    <t>Showcases trade off (if one exists) between allowing October temps to be as high as possible vs cooling earlier.</t>
  </si>
  <si>
    <t>Still only goes to lowest shutter position 10/30/26; uses more one out than ATSP 41</t>
  </si>
  <si>
    <t>Shift temperature target to 58 by Oct 21th to force all out shutter position</t>
  </si>
  <si>
    <t>Shift temperature target to 58 by Oct 15th to force all out shutter position</t>
  </si>
  <si>
    <t>No Bypass - 68 Oct</t>
  </si>
  <si>
    <t>No Bypass - 65 October</t>
  </si>
  <si>
    <t>JDAY</t>
  </si>
  <si>
    <t>Date</t>
  </si>
  <si>
    <t>Scenario 5</t>
  </si>
  <si>
    <t>Scenario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</si>
</sst>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5"/>
      <color rgb="FF242424"/>
      <name val="Segoe UI"/>
      <family val="2"/>
    </font>
    <font>
      <b/>
      <sz val="11"/>
      <color rgb="FF000000"/>
      <name val="Inherit"/>
    </font>
    <font>
      <sz val="11"/>
      <color rgb="FF000000"/>
      <name val="Inherit"/>
    </font>
    <font>
      <vertAlign val="superscript"/>
      <sz val="11"/>
      <color rgb="FF000000"/>
      <name val="Inherit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16">
    <border>
      <left/>
      <right/>
      <top/>
      <bottom/>
      <diagonal/>
    </border>
    <border>
      <left style="medium">
        <color rgb="FF262626"/>
      </left>
      <right style="medium">
        <color rgb="FF262626"/>
      </right>
      <top style="medium">
        <color rgb="FF262626"/>
      </top>
      <bottom style="medium">
        <color rgb="FF262626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14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3" fillId="2" borderId="8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Draft Bypass Scenarios 1-4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140012529635046E-2"/>
          <c:y val="0.11023926289196018"/>
          <c:w val="0.89479255810652369"/>
          <c:h val="0.72630885472797857"/>
        </c:manualLayout>
      </c:layout>
      <c:scatterChart>
        <c:scatterStyle val="lineMarker"/>
        <c:varyColors val="0"/>
        <c:ser>
          <c:idx val="0"/>
          <c:order val="0"/>
          <c:tx>
            <c:strRef>
              <c:f>Timeseries!$C$1</c:f>
              <c:strCache>
                <c:ptCount val="1"/>
                <c:pt idx="0">
                  <c:v>Scenario 1</c:v>
                </c:pt>
              </c:strCache>
            </c:strRef>
          </c:tx>
          <c:spPr>
            <a:ln w="444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Timeseries!$A$2:$A$48</c:f>
              <c:numCache>
                <c:formatCode>m/d/yyyy</c:formatCode>
                <c:ptCount val="47"/>
                <c:pt idx="0">
                  <c:v>46310</c:v>
                </c:pt>
                <c:pt idx="1">
                  <c:v>46311</c:v>
                </c:pt>
                <c:pt idx="2">
                  <c:v>46312</c:v>
                </c:pt>
                <c:pt idx="3">
                  <c:v>46313</c:v>
                </c:pt>
                <c:pt idx="4">
                  <c:v>46314</c:v>
                </c:pt>
                <c:pt idx="5">
                  <c:v>46315</c:v>
                </c:pt>
                <c:pt idx="6">
                  <c:v>46316</c:v>
                </c:pt>
                <c:pt idx="7">
                  <c:v>46317</c:v>
                </c:pt>
                <c:pt idx="8">
                  <c:v>46318</c:v>
                </c:pt>
                <c:pt idx="9">
                  <c:v>46319</c:v>
                </c:pt>
                <c:pt idx="10">
                  <c:v>46320</c:v>
                </c:pt>
                <c:pt idx="11">
                  <c:v>46321</c:v>
                </c:pt>
                <c:pt idx="12">
                  <c:v>46322</c:v>
                </c:pt>
                <c:pt idx="13">
                  <c:v>46323</c:v>
                </c:pt>
                <c:pt idx="14">
                  <c:v>46324</c:v>
                </c:pt>
                <c:pt idx="15">
                  <c:v>46325</c:v>
                </c:pt>
                <c:pt idx="16">
                  <c:v>46326</c:v>
                </c:pt>
                <c:pt idx="17">
                  <c:v>46327</c:v>
                </c:pt>
                <c:pt idx="18">
                  <c:v>46328</c:v>
                </c:pt>
                <c:pt idx="19">
                  <c:v>46329</c:v>
                </c:pt>
                <c:pt idx="20">
                  <c:v>46330</c:v>
                </c:pt>
                <c:pt idx="21">
                  <c:v>46331</c:v>
                </c:pt>
                <c:pt idx="22">
                  <c:v>46332</c:v>
                </c:pt>
                <c:pt idx="23">
                  <c:v>46333</c:v>
                </c:pt>
                <c:pt idx="24">
                  <c:v>46334</c:v>
                </c:pt>
                <c:pt idx="25">
                  <c:v>46335</c:v>
                </c:pt>
                <c:pt idx="26">
                  <c:v>46336</c:v>
                </c:pt>
                <c:pt idx="27">
                  <c:v>46337</c:v>
                </c:pt>
                <c:pt idx="28">
                  <c:v>46338</c:v>
                </c:pt>
                <c:pt idx="29">
                  <c:v>46339</c:v>
                </c:pt>
                <c:pt idx="30">
                  <c:v>46340</c:v>
                </c:pt>
                <c:pt idx="31">
                  <c:v>46341</c:v>
                </c:pt>
                <c:pt idx="32">
                  <c:v>46342</c:v>
                </c:pt>
                <c:pt idx="33">
                  <c:v>46343</c:v>
                </c:pt>
                <c:pt idx="34">
                  <c:v>46344</c:v>
                </c:pt>
                <c:pt idx="35">
                  <c:v>46345</c:v>
                </c:pt>
                <c:pt idx="36">
                  <c:v>46346</c:v>
                </c:pt>
                <c:pt idx="37">
                  <c:v>46347</c:v>
                </c:pt>
                <c:pt idx="38">
                  <c:v>46348</c:v>
                </c:pt>
                <c:pt idx="39">
                  <c:v>46349</c:v>
                </c:pt>
                <c:pt idx="40">
                  <c:v>46350</c:v>
                </c:pt>
                <c:pt idx="41">
                  <c:v>46351</c:v>
                </c:pt>
                <c:pt idx="42">
                  <c:v>46352</c:v>
                </c:pt>
                <c:pt idx="43">
                  <c:v>46353</c:v>
                </c:pt>
                <c:pt idx="44">
                  <c:v>46354</c:v>
                </c:pt>
                <c:pt idx="45">
                  <c:v>46355</c:v>
                </c:pt>
                <c:pt idx="46">
                  <c:v>46356</c:v>
                </c:pt>
              </c:numCache>
            </c:numRef>
          </c:xVal>
          <c:yVal>
            <c:numRef>
              <c:f>Timeseries!$C$2:$C$48</c:f>
              <c:numCache>
                <c:formatCode>General</c:formatCode>
                <c:ptCount val="47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0D-49E4-B4B1-5F0A5262541E}"/>
            </c:ext>
          </c:extLst>
        </c:ser>
        <c:ser>
          <c:idx val="1"/>
          <c:order val="1"/>
          <c:tx>
            <c:strRef>
              <c:f>Timeseries!$D$1</c:f>
              <c:strCache>
                <c:ptCount val="1"/>
                <c:pt idx="0">
                  <c:v>Scenario 2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Timeseries!$A$2:$A$48</c:f>
              <c:numCache>
                <c:formatCode>m/d/yyyy</c:formatCode>
                <c:ptCount val="47"/>
                <c:pt idx="0">
                  <c:v>46310</c:v>
                </c:pt>
                <c:pt idx="1">
                  <c:v>46311</c:v>
                </c:pt>
                <c:pt idx="2">
                  <c:v>46312</c:v>
                </c:pt>
                <c:pt idx="3">
                  <c:v>46313</c:v>
                </c:pt>
                <c:pt idx="4">
                  <c:v>46314</c:v>
                </c:pt>
                <c:pt idx="5">
                  <c:v>46315</c:v>
                </c:pt>
                <c:pt idx="6">
                  <c:v>46316</c:v>
                </c:pt>
                <c:pt idx="7">
                  <c:v>46317</c:v>
                </c:pt>
                <c:pt idx="8">
                  <c:v>46318</c:v>
                </c:pt>
                <c:pt idx="9">
                  <c:v>46319</c:v>
                </c:pt>
                <c:pt idx="10">
                  <c:v>46320</c:v>
                </c:pt>
                <c:pt idx="11">
                  <c:v>46321</c:v>
                </c:pt>
                <c:pt idx="12">
                  <c:v>46322</c:v>
                </c:pt>
                <c:pt idx="13">
                  <c:v>46323</c:v>
                </c:pt>
                <c:pt idx="14">
                  <c:v>46324</c:v>
                </c:pt>
                <c:pt idx="15">
                  <c:v>46325</c:v>
                </c:pt>
                <c:pt idx="16">
                  <c:v>46326</c:v>
                </c:pt>
                <c:pt idx="17">
                  <c:v>46327</c:v>
                </c:pt>
                <c:pt idx="18">
                  <c:v>46328</c:v>
                </c:pt>
                <c:pt idx="19">
                  <c:v>46329</c:v>
                </c:pt>
                <c:pt idx="20">
                  <c:v>46330</c:v>
                </c:pt>
                <c:pt idx="21">
                  <c:v>46331</c:v>
                </c:pt>
                <c:pt idx="22">
                  <c:v>46332</c:v>
                </c:pt>
                <c:pt idx="23">
                  <c:v>46333</c:v>
                </c:pt>
                <c:pt idx="24">
                  <c:v>46334</c:v>
                </c:pt>
                <c:pt idx="25">
                  <c:v>46335</c:v>
                </c:pt>
                <c:pt idx="26">
                  <c:v>46336</c:v>
                </c:pt>
                <c:pt idx="27">
                  <c:v>46337</c:v>
                </c:pt>
                <c:pt idx="28">
                  <c:v>46338</c:v>
                </c:pt>
                <c:pt idx="29">
                  <c:v>46339</c:v>
                </c:pt>
                <c:pt idx="30">
                  <c:v>46340</c:v>
                </c:pt>
                <c:pt idx="31">
                  <c:v>46341</c:v>
                </c:pt>
                <c:pt idx="32">
                  <c:v>46342</c:v>
                </c:pt>
                <c:pt idx="33">
                  <c:v>46343</c:v>
                </c:pt>
                <c:pt idx="34">
                  <c:v>46344</c:v>
                </c:pt>
                <c:pt idx="35">
                  <c:v>46345</c:v>
                </c:pt>
                <c:pt idx="36">
                  <c:v>46346</c:v>
                </c:pt>
                <c:pt idx="37">
                  <c:v>46347</c:v>
                </c:pt>
                <c:pt idx="38">
                  <c:v>46348</c:v>
                </c:pt>
                <c:pt idx="39">
                  <c:v>46349</c:v>
                </c:pt>
                <c:pt idx="40">
                  <c:v>46350</c:v>
                </c:pt>
                <c:pt idx="41">
                  <c:v>46351</c:v>
                </c:pt>
                <c:pt idx="42">
                  <c:v>46352</c:v>
                </c:pt>
                <c:pt idx="43">
                  <c:v>46353</c:v>
                </c:pt>
                <c:pt idx="44">
                  <c:v>46354</c:v>
                </c:pt>
                <c:pt idx="45">
                  <c:v>46355</c:v>
                </c:pt>
                <c:pt idx="46">
                  <c:v>46356</c:v>
                </c:pt>
              </c:numCache>
            </c:numRef>
          </c:xVal>
          <c:yVal>
            <c:numRef>
              <c:f>Timeseries!$D$2:$D$48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0D-49E4-B4B1-5F0A5262541E}"/>
            </c:ext>
          </c:extLst>
        </c:ser>
        <c:ser>
          <c:idx val="2"/>
          <c:order val="2"/>
          <c:tx>
            <c:strRef>
              <c:f>Timeseries!$E$1</c:f>
              <c:strCache>
                <c:ptCount val="1"/>
                <c:pt idx="0">
                  <c:v>Scenario 3</c:v>
                </c:pt>
              </c:strCache>
            </c:strRef>
          </c:tx>
          <c:spPr>
            <a:ln w="19050" cap="rnd" cmpd="dbl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Timeseries!$A$2:$A$48</c:f>
              <c:numCache>
                <c:formatCode>m/d/yyyy</c:formatCode>
                <c:ptCount val="47"/>
                <c:pt idx="0">
                  <c:v>46310</c:v>
                </c:pt>
                <c:pt idx="1">
                  <c:v>46311</c:v>
                </c:pt>
                <c:pt idx="2">
                  <c:v>46312</c:v>
                </c:pt>
                <c:pt idx="3">
                  <c:v>46313</c:v>
                </c:pt>
                <c:pt idx="4">
                  <c:v>46314</c:v>
                </c:pt>
                <c:pt idx="5">
                  <c:v>46315</c:v>
                </c:pt>
                <c:pt idx="6">
                  <c:v>46316</c:v>
                </c:pt>
                <c:pt idx="7">
                  <c:v>46317</c:v>
                </c:pt>
                <c:pt idx="8">
                  <c:v>46318</c:v>
                </c:pt>
                <c:pt idx="9">
                  <c:v>46319</c:v>
                </c:pt>
                <c:pt idx="10">
                  <c:v>46320</c:v>
                </c:pt>
                <c:pt idx="11">
                  <c:v>46321</c:v>
                </c:pt>
                <c:pt idx="12">
                  <c:v>46322</c:v>
                </c:pt>
                <c:pt idx="13">
                  <c:v>46323</c:v>
                </c:pt>
                <c:pt idx="14">
                  <c:v>46324</c:v>
                </c:pt>
                <c:pt idx="15">
                  <c:v>46325</c:v>
                </c:pt>
                <c:pt idx="16">
                  <c:v>46326</c:v>
                </c:pt>
                <c:pt idx="17">
                  <c:v>46327</c:v>
                </c:pt>
                <c:pt idx="18">
                  <c:v>46328</c:v>
                </c:pt>
                <c:pt idx="19">
                  <c:v>46329</c:v>
                </c:pt>
                <c:pt idx="20">
                  <c:v>46330</c:v>
                </c:pt>
                <c:pt idx="21">
                  <c:v>46331</c:v>
                </c:pt>
                <c:pt idx="22">
                  <c:v>46332</c:v>
                </c:pt>
                <c:pt idx="23">
                  <c:v>46333</c:v>
                </c:pt>
                <c:pt idx="24">
                  <c:v>46334</c:v>
                </c:pt>
                <c:pt idx="25">
                  <c:v>46335</c:v>
                </c:pt>
                <c:pt idx="26">
                  <c:v>46336</c:v>
                </c:pt>
                <c:pt idx="27">
                  <c:v>46337</c:v>
                </c:pt>
                <c:pt idx="28">
                  <c:v>46338</c:v>
                </c:pt>
                <c:pt idx="29">
                  <c:v>46339</c:v>
                </c:pt>
                <c:pt idx="30">
                  <c:v>46340</c:v>
                </c:pt>
                <c:pt idx="31">
                  <c:v>46341</c:v>
                </c:pt>
                <c:pt idx="32">
                  <c:v>46342</c:v>
                </c:pt>
                <c:pt idx="33">
                  <c:v>46343</c:v>
                </c:pt>
                <c:pt idx="34">
                  <c:v>46344</c:v>
                </c:pt>
                <c:pt idx="35">
                  <c:v>46345</c:v>
                </c:pt>
                <c:pt idx="36">
                  <c:v>46346</c:v>
                </c:pt>
                <c:pt idx="37">
                  <c:v>46347</c:v>
                </c:pt>
                <c:pt idx="38">
                  <c:v>46348</c:v>
                </c:pt>
                <c:pt idx="39">
                  <c:v>46349</c:v>
                </c:pt>
                <c:pt idx="40">
                  <c:v>46350</c:v>
                </c:pt>
                <c:pt idx="41">
                  <c:v>46351</c:v>
                </c:pt>
                <c:pt idx="42">
                  <c:v>46352</c:v>
                </c:pt>
                <c:pt idx="43">
                  <c:v>46353</c:v>
                </c:pt>
                <c:pt idx="44">
                  <c:v>46354</c:v>
                </c:pt>
                <c:pt idx="45">
                  <c:v>46355</c:v>
                </c:pt>
                <c:pt idx="46">
                  <c:v>46356</c:v>
                </c:pt>
              </c:numCache>
            </c:numRef>
          </c:xVal>
          <c:yVal>
            <c:numRef>
              <c:f>Timeseries!$E$2:$E$48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0D-49E4-B4B1-5F0A5262541E}"/>
            </c:ext>
          </c:extLst>
        </c:ser>
        <c:ser>
          <c:idx val="3"/>
          <c:order val="3"/>
          <c:tx>
            <c:strRef>
              <c:f>Timeseries!$F$1</c:f>
              <c:strCache>
                <c:ptCount val="1"/>
                <c:pt idx="0">
                  <c:v>Scenario 4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Timeseries!$A$2:$A$48</c:f>
              <c:numCache>
                <c:formatCode>m/d/yyyy</c:formatCode>
                <c:ptCount val="47"/>
                <c:pt idx="0">
                  <c:v>46310</c:v>
                </c:pt>
                <c:pt idx="1">
                  <c:v>46311</c:v>
                </c:pt>
                <c:pt idx="2">
                  <c:v>46312</c:v>
                </c:pt>
                <c:pt idx="3">
                  <c:v>46313</c:v>
                </c:pt>
                <c:pt idx="4">
                  <c:v>46314</c:v>
                </c:pt>
                <c:pt idx="5">
                  <c:v>46315</c:v>
                </c:pt>
                <c:pt idx="6">
                  <c:v>46316</c:v>
                </c:pt>
                <c:pt idx="7">
                  <c:v>46317</c:v>
                </c:pt>
                <c:pt idx="8">
                  <c:v>46318</c:v>
                </c:pt>
                <c:pt idx="9">
                  <c:v>46319</c:v>
                </c:pt>
                <c:pt idx="10">
                  <c:v>46320</c:v>
                </c:pt>
                <c:pt idx="11">
                  <c:v>46321</c:v>
                </c:pt>
                <c:pt idx="12">
                  <c:v>46322</c:v>
                </c:pt>
                <c:pt idx="13">
                  <c:v>46323</c:v>
                </c:pt>
                <c:pt idx="14">
                  <c:v>46324</c:v>
                </c:pt>
                <c:pt idx="15">
                  <c:v>46325</c:v>
                </c:pt>
                <c:pt idx="16">
                  <c:v>46326</c:v>
                </c:pt>
                <c:pt idx="17">
                  <c:v>46327</c:v>
                </c:pt>
                <c:pt idx="18">
                  <c:v>46328</c:v>
                </c:pt>
                <c:pt idx="19">
                  <c:v>46329</c:v>
                </c:pt>
                <c:pt idx="20">
                  <c:v>46330</c:v>
                </c:pt>
                <c:pt idx="21">
                  <c:v>46331</c:v>
                </c:pt>
                <c:pt idx="22">
                  <c:v>46332</c:v>
                </c:pt>
                <c:pt idx="23">
                  <c:v>46333</c:v>
                </c:pt>
                <c:pt idx="24">
                  <c:v>46334</c:v>
                </c:pt>
                <c:pt idx="25">
                  <c:v>46335</c:v>
                </c:pt>
                <c:pt idx="26">
                  <c:v>46336</c:v>
                </c:pt>
                <c:pt idx="27">
                  <c:v>46337</c:v>
                </c:pt>
                <c:pt idx="28">
                  <c:v>46338</c:v>
                </c:pt>
                <c:pt idx="29">
                  <c:v>46339</c:v>
                </c:pt>
                <c:pt idx="30">
                  <c:v>46340</c:v>
                </c:pt>
                <c:pt idx="31">
                  <c:v>46341</c:v>
                </c:pt>
                <c:pt idx="32">
                  <c:v>46342</c:v>
                </c:pt>
                <c:pt idx="33">
                  <c:v>46343</c:v>
                </c:pt>
                <c:pt idx="34">
                  <c:v>46344</c:v>
                </c:pt>
                <c:pt idx="35">
                  <c:v>46345</c:v>
                </c:pt>
                <c:pt idx="36">
                  <c:v>46346</c:v>
                </c:pt>
                <c:pt idx="37">
                  <c:v>46347</c:v>
                </c:pt>
                <c:pt idx="38">
                  <c:v>46348</c:v>
                </c:pt>
                <c:pt idx="39">
                  <c:v>46349</c:v>
                </c:pt>
                <c:pt idx="40">
                  <c:v>46350</c:v>
                </c:pt>
                <c:pt idx="41">
                  <c:v>46351</c:v>
                </c:pt>
                <c:pt idx="42">
                  <c:v>46352</c:v>
                </c:pt>
                <c:pt idx="43">
                  <c:v>46353</c:v>
                </c:pt>
                <c:pt idx="44">
                  <c:v>46354</c:v>
                </c:pt>
                <c:pt idx="45">
                  <c:v>46355</c:v>
                </c:pt>
                <c:pt idx="46">
                  <c:v>46356</c:v>
                </c:pt>
              </c:numCache>
            </c:numRef>
          </c:xVal>
          <c:yVal>
            <c:numRef>
              <c:f>Timeseries!$F$2:$F$48</c:f>
              <c:numCache>
                <c:formatCode>General</c:formatCode>
                <c:ptCount val="4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0D-49E4-B4B1-5F0A5262541E}"/>
            </c:ext>
          </c:extLst>
        </c:ser>
        <c:ser>
          <c:idx val="4"/>
          <c:order val="4"/>
          <c:tx>
            <c:strRef>
              <c:f>Timeseries!$G$1</c:f>
              <c:strCache>
                <c:ptCount val="1"/>
                <c:pt idx="0">
                  <c:v>Scenario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Timeseries!$A$2:$A$48</c:f>
              <c:numCache>
                <c:formatCode>m/d/yyyy</c:formatCode>
                <c:ptCount val="47"/>
                <c:pt idx="0">
                  <c:v>46310</c:v>
                </c:pt>
                <c:pt idx="1">
                  <c:v>46311</c:v>
                </c:pt>
                <c:pt idx="2">
                  <c:v>46312</c:v>
                </c:pt>
                <c:pt idx="3">
                  <c:v>46313</c:v>
                </c:pt>
                <c:pt idx="4">
                  <c:v>46314</c:v>
                </c:pt>
                <c:pt idx="5">
                  <c:v>46315</c:v>
                </c:pt>
                <c:pt idx="6">
                  <c:v>46316</c:v>
                </c:pt>
                <c:pt idx="7">
                  <c:v>46317</c:v>
                </c:pt>
                <c:pt idx="8">
                  <c:v>46318</c:v>
                </c:pt>
                <c:pt idx="9">
                  <c:v>46319</c:v>
                </c:pt>
                <c:pt idx="10">
                  <c:v>46320</c:v>
                </c:pt>
                <c:pt idx="11">
                  <c:v>46321</c:v>
                </c:pt>
                <c:pt idx="12">
                  <c:v>46322</c:v>
                </c:pt>
                <c:pt idx="13">
                  <c:v>46323</c:v>
                </c:pt>
                <c:pt idx="14">
                  <c:v>46324</c:v>
                </c:pt>
                <c:pt idx="15">
                  <c:v>46325</c:v>
                </c:pt>
                <c:pt idx="16">
                  <c:v>46326</c:v>
                </c:pt>
                <c:pt idx="17">
                  <c:v>46327</c:v>
                </c:pt>
                <c:pt idx="18">
                  <c:v>46328</c:v>
                </c:pt>
                <c:pt idx="19">
                  <c:v>46329</c:v>
                </c:pt>
                <c:pt idx="20">
                  <c:v>46330</c:v>
                </c:pt>
                <c:pt idx="21">
                  <c:v>46331</c:v>
                </c:pt>
                <c:pt idx="22">
                  <c:v>46332</c:v>
                </c:pt>
                <c:pt idx="23">
                  <c:v>46333</c:v>
                </c:pt>
                <c:pt idx="24">
                  <c:v>46334</c:v>
                </c:pt>
                <c:pt idx="25">
                  <c:v>46335</c:v>
                </c:pt>
                <c:pt idx="26">
                  <c:v>46336</c:v>
                </c:pt>
                <c:pt idx="27">
                  <c:v>46337</c:v>
                </c:pt>
                <c:pt idx="28">
                  <c:v>46338</c:v>
                </c:pt>
                <c:pt idx="29">
                  <c:v>46339</c:v>
                </c:pt>
                <c:pt idx="30">
                  <c:v>46340</c:v>
                </c:pt>
                <c:pt idx="31">
                  <c:v>46341</c:v>
                </c:pt>
                <c:pt idx="32">
                  <c:v>46342</c:v>
                </c:pt>
                <c:pt idx="33">
                  <c:v>46343</c:v>
                </c:pt>
                <c:pt idx="34">
                  <c:v>46344</c:v>
                </c:pt>
                <c:pt idx="35">
                  <c:v>46345</c:v>
                </c:pt>
                <c:pt idx="36">
                  <c:v>46346</c:v>
                </c:pt>
                <c:pt idx="37">
                  <c:v>46347</c:v>
                </c:pt>
                <c:pt idx="38">
                  <c:v>46348</c:v>
                </c:pt>
                <c:pt idx="39">
                  <c:v>46349</c:v>
                </c:pt>
                <c:pt idx="40">
                  <c:v>46350</c:v>
                </c:pt>
                <c:pt idx="41">
                  <c:v>46351</c:v>
                </c:pt>
                <c:pt idx="42">
                  <c:v>46352</c:v>
                </c:pt>
                <c:pt idx="43">
                  <c:v>46353</c:v>
                </c:pt>
                <c:pt idx="44">
                  <c:v>46354</c:v>
                </c:pt>
                <c:pt idx="45">
                  <c:v>46355</c:v>
                </c:pt>
                <c:pt idx="46">
                  <c:v>46356</c:v>
                </c:pt>
              </c:numCache>
            </c:numRef>
          </c:xVal>
          <c:yVal>
            <c:numRef>
              <c:f>Timeseries!$G$2:$G$48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3-47F4-9169-7E9FB4DB1145}"/>
            </c:ext>
          </c:extLst>
        </c:ser>
        <c:ser>
          <c:idx val="5"/>
          <c:order val="5"/>
          <c:tx>
            <c:strRef>
              <c:f>Timeseries!$H$1</c:f>
              <c:strCache>
                <c:ptCount val="1"/>
                <c:pt idx="0">
                  <c:v>Scenario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Timeseries!$A$2:$A$48</c:f>
              <c:numCache>
                <c:formatCode>m/d/yyyy</c:formatCode>
                <c:ptCount val="47"/>
                <c:pt idx="0">
                  <c:v>46310</c:v>
                </c:pt>
                <c:pt idx="1">
                  <c:v>46311</c:v>
                </c:pt>
                <c:pt idx="2">
                  <c:v>46312</c:v>
                </c:pt>
                <c:pt idx="3">
                  <c:v>46313</c:v>
                </c:pt>
                <c:pt idx="4">
                  <c:v>46314</c:v>
                </c:pt>
                <c:pt idx="5">
                  <c:v>46315</c:v>
                </c:pt>
                <c:pt idx="6">
                  <c:v>46316</c:v>
                </c:pt>
                <c:pt idx="7">
                  <c:v>46317</c:v>
                </c:pt>
                <c:pt idx="8">
                  <c:v>46318</c:v>
                </c:pt>
                <c:pt idx="9">
                  <c:v>46319</c:v>
                </c:pt>
                <c:pt idx="10">
                  <c:v>46320</c:v>
                </c:pt>
                <c:pt idx="11">
                  <c:v>46321</c:v>
                </c:pt>
                <c:pt idx="12">
                  <c:v>46322</c:v>
                </c:pt>
                <c:pt idx="13">
                  <c:v>46323</c:v>
                </c:pt>
                <c:pt idx="14">
                  <c:v>46324</c:v>
                </c:pt>
                <c:pt idx="15">
                  <c:v>46325</c:v>
                </c:pt>
                <c:pt idx="16">
                  <c:v>46326</c:v>
                </c:pt>
                <c:pt idx="17">
                  <c:v>46327</c:v>
                </c:pt>
                <c:pt idx="18">
                  <c:v>46328</c:v>
                </c:pt>
                <c:pt idx="19">
                  <c:v>46329</c:v>
                </c:pt>
                <c:pt idx="20">
                  <c:v>46330</c:v>
                </c:pt>
                <c:pt idx="21">
                  <c:v>46331</c:v>
                </c:pt>
                <c:pt idx="22">
                  <c:v>46332</c:v>
                </c:pt>
                <c:pt idx="23">
                  <c:v>46333</c:v>
                </c:pt>
                <c:pt idx="24">
                  <c:v>46334</c:v>
                </c:pt>
                <c:pt idx="25">
                  <c:v>46335</c:v>
                </c:pt>
                <c:pt idx="26">
                  <c:v>46336</c:v>
                </c:pt>
                <c:pt idx="27">
                  <c:v>46337</c:v>
                </c:pt>
                <c:pt idx="28">
                  <c:v>46338</c:v>
                </c:pt>
                <c:pt idx="29">
                  <c:v>46339</c:v>
                </c:pt>
                <c:pt idx="30">
                  <c:v>46340</c:v>
                </c:pt>
                <c:pt idx="31">
                  <c:v>46341</c:v>
                </c:pt>
                <c:pt idx="32">
                  <c:v>46342</c:v>
                </c:pt>
                <c:pt idx="33">
                  <c:v>46343</c:v>
                </c:pt>
                <c:pt idx="34">
                  <c:v>46344</c:v>
                </c:pt>
                <c:pt idx="35">
                  <c:v>46345</c:v>
                </c:pt>
                <c:pt idx="36">
                  <c:v>46346</c:v>
                </c:pt>
                <c:pt idx="37">
                  <c:v>46347</c:v>
                </c:pt>
                <c:pt idx="38">
                  <c:v>46348</c:v>
                </c:pt>
                <c:pt idx="39">
                  <c:v>46349</c:v>
                </c:pt>
                <c:pt idx="40">
                  <c:v>46350</c:v>
                </c:pt>
                <c:pt idx="41">
                  <c:v>46351</c:v>
                </c:pt>
                <c:pt idx="42">
                  <c:v>46352</c:v>
                </c:pt>
                <c:pt idx="43">
                  <c:v>46353</c:v>
                </c:pt>
                <c:pt idx="44">
                  <c:v>46354</c:v>
                </c:pt>
                <c:pt idx="45">
                  <c:v>46355</c:v>
                </c:pt>
                <c:pt idx="46">
                  <c:v>46356</c:v>
                </c:pt>
              </c:numCache>
            </c:numRef>
          </c:xVal>
          <c:yVal>
            <c:numRef>
              <c:f>Timeseries!$H$2:$H$48</c:f>
              <c:numCache>
                <c:formatCode>General</c:formatCode>
                <c:ptCount val="47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23-47F4-9169-7E9FB4DB1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830096"/>
        <c:axId val="877436591"/>
      </c:scatterChart>
      <c:valAx>
        <c:axId val="1369830096"/>
        <c:scaling>
          <c:orientation val="minMax"/>
          <c:min val="463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36591"/>
        <c:crosses val="autoZero"/>
        <c:crossBetween val="midCat"/>
        <c:majorUnit val="2"/>
      </c:valAx>
      <c:valAx>
        <c:axId val="87743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Bypass 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83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82550</xdr:colOff>
      <xdr:row>1</xdr:row>
      <xdr:rowOff>116204</xdr:rowOff>
    </xdr:from>
    <xdr:to>
      <xdr:col>21</xdr:col>
      <xdr:colOff>368300</xdr:colOff>
      <xdr:row>24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9800B-B0D3-6DB0-E80A-0BD73174F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06A0-1B78-4544-8E71-7E37ADC79449}">
  <dimension ref="B2:G19"/>
  <sheetViews>
    <sheetView workbookViewId="0">
      <selection activeCell="C11" sqref="C11"/>
    </sheetView>
  </sheetViews>
  <sheetFormatPr defaultRowHeight="14.4"/>
  <cols>
    <col min="3" max="3" width="27.5234375" customWidth="1"/>
    <col min="4" max="4" width="19.734375" customWidth="1"/>
    <col min="5" max="5" width="26.5234375" customWidth="1"/>
    <col min="6" max="6" width="26.83984375" customWidth="1"/>
  </cols>
  <sheetData>
    <row r="2" spans="2:7" ht="14.7" thickBot="1"/>
    <row r="3" spans="2:7" ht="28.5" thickBot="1">
      <c r="B3" s="1" t="s">
        <v>0</v>
      </c>
      <c r="C3" s="2" t="s">
        <v>1</v>
      </c>
      <c r="D3" s="2" t="s">
        <v>2</v>
      </c>
    </row>
    <row r="4" spans="2:7" ht="41.7" thickBot="1">
      <c r="B4" s="3" t="s">
        <v>19</v>
      </c>
      <c r="C4" s="4" t="s">
        <v>25</v>
      </c>
      <c r="D4" s="5">
        <v>0</v>
      </c>
      <c r="E4" s="18" t="s">
        <v>21</v>
      </c>
    </row>
    <row r="5" spans="2:7" ht="43.5" thickBot="1">
      <c r="B5" s="6" t="s">
        <v>20</v>
      </c>
      <c r="C5" s="7" t="s">
        <v>26</v>
      </c>
      <c r="D5" s="8">
        <v>0</v>
      </c>
      <c r="E5" s="18"/>
      <c r="F5" s="11" t="s">
        <v>22</v>
      </c>
    </row>
    <row r="6" spans="2:7">
      <c r="B6" s="14" t="s">
        <v>3</v>
      </c>
      <c r="C6" s="9" t="s">
        <v>4</v>
      </c>
      <c r="D6" s="16"/>
      <c r="F6" s="19" t="s">
        <v>24</v>
      </c>
    </row>
    <row r="7" spans="2:7">
      <c r="B7" s="20"/>
      <c r="C7" s="7" t="s">
        <v>5</v>
      </c>
      <c r="D7" s="21"/>
      <c r="F7" s="19"/>
      <c r="G7">
        <f>DATE(2026,10,15)-DATE(2026,1,1)+1</f>
        <v>288</v>
      </c>
    </row>
    <row r="8" spans="2:7">
      <c r="B8" s="20"/>
      <c r="C8" s="7" t="s">
        <v>6</v>
      </c>
      <c r="D8" s="21"/>
      <c r="F8" s="19"/>
    </row>
    <row r="9" spans="2:7" ht="16.2" thickBot="1">
      <c r="B9" s="15"/>
      <c r="C9" s="10" t="s">
        <v>7</v>
      </c>
      <c r="D9" s="17"/>
      <c r="F9" s="19"/>
    </row>
    <row r="10" spans="2:7" ht="15.9">
      <c r="B10" s="14" t="s">
        <v>8</v>
      </c>
      <c r="C10" s="9" t="s">
        <v>9</v>
      </c>
      <c r="D10" s="16"/>
      <c r="F10" s="19" t="s">
        <v>23</v>
      </c>
    </row>
    <row r="11" spans="2:7" ht="15.9">
      <c r="B11" s="20"/>
      <c r="C11" s="7" t="s">
        <v>10</v>
      </c>
      <c r="D11" s="21"/>
      <c r="F11" s="19"/>
      <c r="G11">
        <f>DATE(2026,10,21)-DATE(2026,1,1)+1</f>
        <v>294</v>
      </c>
    </row>
    <row r="12" spans="2:7">
      <c r="B12" s="20"/>
      <c r="C12" s="7" t="s">
        <v>11</v>
      </c>
      <c r="D12" s="21"/>
      <c r="F12" s="19"/>
    </row>
    <row r="13" spans="2:7" ht="14.7" thickBot="1">
      <c r="B13" s="15"/>
      <c r="C13" s="10" t="s">
        <v>12</v>
      </c>
      <c r="D13" s="17"/>
      <c r="F13" s="19"/>
    </row>
    <row r="14" spans="2:7" ht="29.7" customHeight="1">
      <c r="B14" s="14" t="s">
        <v>13</v>
      </c>
      <c r="C14" s="9" t="s">
        <v>14</v>
      </c>
      <c r="D14" s="16"/>
      <c r="F14" s="19"/>
      <c r="G14">
        <f>DATE(2026,10,28)-DATE(2026,1,1)+1</f>
        <v>301</v>
      </c>
    </row>
    <row r="15" spans="2:7" ht="14.7" thickBot="1">
      <c r="B15" s="15"/>
      <c r="C15" s="10" t="s">
        <v>15</v>
      </c>
      <c r="D15" s="17"/>
      <c r="F15" s="19"/>
    </row>
    <row r="16" spans="2:7" ht="14.4" customHeight="1">
      <c r="B16" s="14" t="s">
        <v>16</v>
      </c>
      <c r="C16" s="9" t="s">
        <v>17</v>
      </c>
      <c r="D16" s="16"/>
      <c r="F16" s="19" t="s">
        <v>24</v>
      </c>
      <c r="G16">
        <f>DATE(2026,10,15)-DATE(2026,1,1)+1</f>
        <v>288</v>
      </c>
    </row>
    <row r="17" spans="2:6" ht="14.7" thickBot="1">
      <c r="B17" s="15"/>
      <c r="C17" s="10" t="s">
        <v>18</v>
      </c>
      <c r="D17" s="17"/>
      <c r="F17" s="19"/>
    </row>
    <row r="18" spans="2:6">
      <c r="F18" s="11"/>
    </row>
    <row r="19" spans="2:6">
      <c r="F19" s="11"/>
    </row>
  </sheetData>
  <mergeCells count="13">
    <mergeCell ref="B16:B17"/>
    <mergeCell ref="D16:D17"/>
    <mergeCell ref="E4:E5"/>
    <mergeCell ref="F6:F9"/>
    <mergeCell ref="F10:F13"/>
    <mergeCell ref="F14:F15"/>
    <mergeCell ref="F16:F17"/>
    <mergeCell ref="B6:B9"/>
    <mergeCell ref="D6:D9"/>
    <mergeCell ref="B10:B13"/>
    <mergeCell ref="D10:D13"/>
    <mergeCell ref="B14:B15"/>
    <mergeCell ref="D14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A8A3-4B9E-4745-B8D8-6FB48146E35A}">
  <dimension ref="A1:H49"/>
  <sheetViews>
    <sheetView tabSelected="1" topLeftCell="C6" workbookViewId="0">
      <selection activeCell="L29" sqref="L29"/>
    </sheetView>
  </sheetViews>
  <sheetFormatPr defaultRowHeight="14.4"/>
  <cols>
    <col min="1" max="2" width="9.9453125" bestFit="1" customWidth="1"/>
  </cols>
  <sheetData>
    <row r="1" spans="1:8">
      <c r="A1" t="s">
        <v>28</v>
      </c>
      <c r="B1" t="s">
        <v>27</v>
      </c>
      <c r="C1" t="s">
        <v>3</v>
      </c>
      <c r="D1" t="s">
        <v>8</v>
      </c>
      <c r="E1" t="s">
        <v>13</v>
      </c>
      <c r="F1" t="s">
        <v>16</v>
      </c>
      <c r="G1" t="s">
        <v>29</v>
      </c>
      <c r="H1" t="s">
        <v>30</v>
      </c>
    </row>
    <row r="2" spans="1:8">
      <c r="A2" s="12">
        <v>46310</v>
      </c>
      <c r="B2" s="13">
        <f>A2-DATE(2026,1,1)+1</f>
        <v>288</v>
      </c>
      <c r="C2">
        <v>250</v>
      </c>
      <c r="D2">
        <v>0</v>
      </c>
      <c r="E2">
        <v>0</v>
      </c>
      <c r="F2">
        <v>500</v>
      </c>
      <c r="G2">
        <v>0</v>
      </c>
      <c r="H2">
        <v>250</v>
      </c>
    </row>
    <row r="3" spans="1:8">
      <c r="A3" s="12">
        <v>46311</v>
      </c>
      <c r="B3" s="13">
        <f t="shared" ref="B3:B49" si="0">A3-DATE(2026,1,1)+1</f>
        <v>289</v>
      </c>
      <c r="C3">
        <v>250</v>
      </c>
      <c r="D3">
        <v>0</v>
      </c>
      <c r="E3">
        <v>0</v>
      </c>
      <c r="F3">
        <v>500</v>
      </c>
      <c r="G3">
        <v>0</v>
      </c>
      <c r="H3">
        <v>250</v>
      </c>
    </row>
    <row r="4" spans="1:8">
      <c r="A4" s="12">
        <v>46312</v>
      </c>
      <c r="B4" s="13">
        <f t="shared" si="0"/>
        <v>290</v>
      </c>
      <c r="C4">
        <v>250</v>
      </c>
      <c r="D4">
        <v>0</v>
      </c>
      <c r="E4">
        <v>0</v>
      </c>
      <c r="F4">
        <v>500</v>
      </c>
      <c r="G4">
        <v>0</v>
      </c>
      <c r="H4">
        <v>250</v>
      </c>
    </row>
    <row r="5" spans="1:8">
      <c r="A5" s="12">
        <v>46313</v>
      </c>
      <c r="B5" s="13">
        <f t="shared" si="0"/>
        <v>291</v>
      </c>
      <c r="C5">
        <v>250</v>
      </c>
      <c r="D5">
        <v>0</v>
      </c>
      <c r="E5">
        <v>0</v>
      </c>
      <c r="F5">
        <v>500</v>
      </c>
      <c r="G5">
        <v>0</v>
      </c>
      <c r="H5">
        <v>250</v>
      </c>
    </row>
    <row r="6" spans="1:8">
      <c r="A6" s="12">
        <v>46314</v>
      </c>
      <c r="B6" s="13">
        <f t="shared" si="0"/>
        <v>292</v>
      </c>
      <c r="C6">
        <v>250</v>
      </c>
      <c r="D6">
        <v>0</v>
      </c>
      <c r="E6">
        <v>0</v>
      </c>
      <c r="F6">
        <v>500</v>
      </c>
      <c r="G6">
        <v>0</v>
      </c>
      <c r="H6">
        <v>250</v>
      </c>
    </row>
    <row r="7" spans="1:8">
      <c r="A7" s="12">
        <v>46315</v>
      </c>
      <c r="B7" s="13">
        <f t="shared" si="0"/>
        <v>293</v>
      </c>
      <c r="C7">
        <v>250</v>
      </c>
      <c r="D7">
        <v>0</v>
      </c>
      <c r="E7">
        <v>0</v>
      </c>
      <c r="F7">
        <v>500</v>
      </c>
      <c r="G7">
        <v>0</v>
      </c>
      <c r="H7">
        <v>250</v>
      </c>
    </row>
    <row r="8" spans="1:8">
      <c r="A8" s="12">
        <v>46316</v>
      </c>
      <c r="B8" s="13">
        <f t="shared" si="0"/>
        <v>294</v>
      </c>
      <c r="C8">
        <v>250</v>
      </c>
      <c r="D8">
        <v>250</v>
      </c>
      <c r="E8">
        <v>0</v>
      </c>
      <c r="F8">
        <v>500</v>
      </c>
      <c r="G8">
        <v>250</v>
      </c>
      <c r="H8">
        <v>250</v>
      </c>
    </row>
    <row r="9" spans="1:8">
      <c r="A9" s="12">
        <v>46317</v>
      </c>
      <c r="B9" s="13">
        <f t="shared" si="0"/>
        <v>295</v>
      </c>
      <c r="C9">
        <v>250</v>
      </c>
      <c r="D9">
        <v>250</v>
      </c>
      <c r="E9">
        <v>0</v>
      </c>
      <c r="F9">
        <v>500</v>
      </c>
      <c r="G9">
        <v>250</v>
      </c>
      <c r="H9">
        <v>250</v>
      </c>
    </row>
    <row r="10" spans="1:8">
      <c r="A10" s="12">
        <v>46318</v>
      </c>
      <c r="B10" s="13">
        <f t="shared" si="0"/>
        <v>296</v>
      </c>
      <c r="C10">
        <v>250</v>
      </c>
      <c r="D10">
        <v>250</v>
      </c>
      <c r="E10">
        <v>0</v>
      </c>
      <c r="F10">
        <v>500</v>
      </c>
      <c r="G10">
        <v>250</v>
      </c>
      <c r="H10">
        <v>250</v>
      </c>
    </row>
    <row r="11" spans="1:8">
      <c r="A11" s="12">
        <v>46319</v>
      </c>
      <c r="B11" s="13">
        <f t="shared" si="0"/>
        <v>297</v>
      </c>
      <c r="C11">
        <v>250</v>
      </c>
      <c r="D11">
        <v>250</v>
      </c>
      <c r="E11">
        <v>0</v>
      </c>
      <c r="F11">
        <v>500</v>
      </c>
      <c r="G11">
        <v>250</v>
      </c>
      <c r="H11">
        <v>250</v>
      </c>
    </row>
    <row r="12" spans="1:8">
      <c r="A12" s="12">
        <v>46320</v>
      </c>
      <c r="B12" s="13">
        <f t="shared" si="0"/>
        <v>298</v>
      </c>
      <c r="C12">
        <v>250</v>
      </c>
      <c r="D12">
        <v>250</v>
      </c>
      <c r="E12">
        <v>0</v>
      </c>
      <c r="F12">
        <v>500</v>
      </c>
      <c r="G12">
        <v>250</v>
      </c>
      <c r="H12">
        <v>250</v>
      </c>
    </row>
    <row r="13" spans="1:8">
      <c r="A13" s="12">
        <v>46321</v>
      </c>
      <c r="B13" s="13">
        <f t="shared" si="0"/>
        <v>299</v>
      </c>
      <c r="C13">
        <v>250</v>
      </c>
      <c r="D13">
        <v>250</v>
      </c>
      <c r="E13">
        <v>0</v>
      </c>
      <c r="F13">
        <v>500</v>
      </c>
      <c r="G13">
        <v>250</v>
      </c>
      <c r="H13">
        <v>250</v>
      </c>
    </row>
    <row r="14" spans="1:8">
      <c r="A14" s="12">
        <v>46322</v>
      </c>
      <c r="B14" s="13">
        <f t="shared" si="0"/>
        <v>300</v>
      </c>
      <c r="C14">
        <v>250</v>
      </c>
      <c r="D14">
        <v>250</v>
      </c>
      <c r="E14">
        <v>0</v>
      </c>
      <c r="F14">
        <v>500</v>
      </c>
      <c r="G14">
        <v>250</v>
      </c>
      <c r="H14">
        <v>250</v>
      </c>
    </row>
    <row r="15" spans="1:8">
      <c r="A15" s="12">
        <v>46323</v>
      </c>
      <c r="B15" s="13">
        <f t="shared" si="0"/>
        <v>301</v>
      </c>
      <c r="C15">
        <v>500</v>
      </c>
      <c r="D15">
        <v>500</v>
      </c>
      <c r="E15">
        <v>500</v>
      </c>
      <c r="F15">
        <v>500</v>
      </c>
      <c r="G15">
        <v>500</v>
      </c>
      <c r="H15">
        <v>500</v>
      </c>
    </row>
    <row r="16" spans="1:8">
      <c r="A16" s="12">
        <v>46324</v>
      </c>
      <c r="B16" s="13">
        <f t="shared" si="0"/>
        <v>302</v>
      </c>
      <c r="C16">
        <v>500</v>
      </c>
      <c r="D16">
        <v>500</v>
      </c>
      <c r="E16">
        <v>500</v>
      </c>
      <c r="F16">
        <v>500</v>
      </c>
      <c r="G16">
        <v>500</v>
      </c>
      <c r="H16">
        <v>500</v>
      </c>
    </row>
    <row r="17" spans="1:8">
      <c r="A17" s="12">
        <v>46325</v>
      </c>
      <c r="B17" s="13">
        <f t="shared" si="0"/>
        <v>303</v>
      </c>
      <c r="C17">
        <v>500</v>
      </c>
      <c r="D17">
        <v>500</v>
      </c>
      <c r="E17">
        <v>500</v>
      </c>
      <c r="F17">
        <v>500</v>
      </c>
      <c r="G17">
        <v>500</v>
      </c>
      <c r="H17">
        <v>500</v>
      </c>
    </row>
    <row r="18" spans="1:8">
      <c r="A18" s="12">
        <v>46326</v>
      </c>
      <c r="B18" s="13">
        <f t="shared" si="0"/>
        <v>304</v>
      </c>
      <c r="C18">
        <v>500</v>
      </c>
      <c r="D18">
        <v>500</v>
      </c>
      <c r="E18">
        <v>500</v>
      </c>
      <c r="F18">
        <v>500</v>
      </c>
      <c r="G18">
        <v>500</v>
      </c>
      <c r="H18">
        <v>500</v>
      </c>
    </row>
    <row r="19" spans="1:8">
      <c r="A19" s="12">
        <v>46327</v>
      </c>
      <c r="B19" s="13">
        <f t="shared" si="0"/>
        <v>305</v>
      </c>
      <c r="C19">
        <v>500</v>
      </c>
      <c r="D19">
        <v>500</v>
      </c>
      <c r="E19">
        <v>500</v>
      </c>
      <c r="F19">
        <v>500</v>
      </c>
      <c r="G19">
        <v>500</v>
      </c>
      <c r="H19">
        <v>500</v>
      </c>
    </row>
    <row r="20" spans="1:8">
      <c r="A20" s="12">
        <v>46328</v>
      </c>
      <c r="B20" s="13">
        <f t="shared" si="0"/>
        <v>306</v>
      </c>
      <c r="C20">
        <v>500</v>
      </c>
      <c r="D20">
        <v>500</v>
      </c>
      <c r="E20">
        <v>500</v>
      </c>
      <c r="F20">
        <v>500</v>
      </c>
      <c r="G20">
        <v>500</v>
      </c>
      <c r="H20">
        <v>500</v>
      </c>
    </row>
    <row r="21" spans="1:8">
      <c r="A21" s="12">
        <v>46329</v>
      </c>
      <c r="B21" s="13">
        <f t="shared" si="0"/>
        <v>307</v>
      </c>
      <c r="C21">
        <v>500</v>
      </c>
      <c r="D21">
        <v>500</v>
      </c>
      <c r="E21">
        <v>500</v>
      </c>
      <c r="F21">
        <v>500</v>
      </c>
      <c r="G21">
        <v>500</v>
      </c>
      <c r="H21">
        <v>500</v>
      </c>
    </row>
    <row r="22" spans="1:8">
      <c r="A22" s="12">
        <v>46330</v>
      </c>
      <c r="B22" s="13">
        <f t="shared" si="0"/>
        <v>308</v>
      </c>
      <c r="C22">
        <v>500</v>
      </c>
      <c r="D22">
        <v>500</v>
      </c>
      <c r="E22">
        <v>500</v>
      </c>
      <c r="F22">
        <v>500</v>
      </c>
      <c r="G22">
        <v>500</v>
      </c>
      <c r="H22">
        <v>500</v>
      </c>
    </row>
    <row r="23" spans="1:8">
      <c r="A23" s="12">
        <v>46331</v>
      </c>
      <c r="B23" s="13">
        <f t="shared" si="0"/>
        <v>309</v>
      </c>
      <c r="C23">
        <v>500</v>
      </c>
      <c r="D23">
        <v>500</v>
      </c>
      <c r="E23">
        <v>500</v>
      </c>
      <c r="F23">
        <v>500</v>
      </c>
      <c r="G23">
        <v>500</v>
      </c>
      <c r="H23">
        <v>500</v>
      </c>
    </row>
    <row r="24" spans="1:8">
      <c r="A24" s="12">
        <v>46332</v>
      </c>
      <c r="B24" s="13">
        <f t="shared" si="0"/>
        <v>310</v>
      </c>
      <c r="C24">
        <v>500</v>
      </c>
      <c r="D24">
        <v>500</v>
      </c>
      <c r="E24">
        <v>500</v>
      </c>
      <c r="F24">
        <v>500</v>
      </c>
      <c r="G24">
        <v>500</v>
      </c>
      <c r="H24">
        <v>500</v>
      </c>
    </row>
    <row r="25" spans="1:8">
      <c r="A25" s="12">
        <v>46333</v>
      </c>
      <c r="B25" s="13">
        <f t="shared" si="0"/>
        <v>311</v>
      </c>
      <c r="C25">
        <v>500</v>
      </c>
      <c r="D25">
        <v>250</v>
      </c>
      <c r="E25">
        <v>500</v>
      </c>
      <c r="F25">
        <v>500</v>
      </c>
      <c r="G25">
        <v>500</v>
      </c>
      <c r="H25">
        <v>500</v>
      </c>
    </row>
    <row r="26" spans="1:8">
      <c r="A26" s="12">
        <v>46334</v>
      </c>
      <c r="B26" s="13">
        <f t="shared" si="0"/>
        <v>312</v>
      </c>
      <c r="C26">
        <v>500</v>
      </c>
      <c r="D26">
        <v>250</v>
      </c>
      <c r="E26">
        <v>500</v>
      </c>
      <c r="F26">
        <v>500</v>
      </c>
      <c r="G26">
        <v>500</v>
      </c>
      <c r="H26">
        <v>500</v>
      </c>
    </row>
    <row r="27" spans="1:8">
      <c r="A27" s="12">
        <v>46335</v>
      </c>
      <c r="B27" s="13">
        <f t="shared" si="0"/>
        <v>313</v>
      </c>
      <c r="C27">
        <v>500</v>
      </c>
      <c r="D27">
        <v>250</v>
      </c>
      <c r="E27">
        <v>500</v>
      </c>
      <c r="F27">
        <v>500</v>
      </c>
      <c r="G27">
        <v>500</v>
      </c>
      <c r="H27">
        <v>500</v>
      </c>
    </row>
    <row r="28" spans="1:8">
      <c r="A28" s="12">
        <v>46336</v>
      </c>
      <c r="B28" s="13">
        <f t="shared" si="0"/>
        <v>314</v>
      </c>
      <c r="C28">
        <v>500</v>
      </c>
      <c r="D28">
        <v>250</v>
      </c>
      <c r="E28">
        <v>500</v>
      </c>
      <c r="F28">
        <v>500</v>
      </c>
      <c r="G28">
        <v>500</v>
      </c>
      <c r="H28">
        <v>500</v>
      </c>
    </row>
    <row r="29" spans="1:8">
      <c r="A29" s="12">
        <v>46337</v>
      </c>
      <c r="B29" s="13">
        <f t="shared" si="0"/>
        <v>315</v>
      </c>
      <c r="C29">
        <v>500</v>
      </c>
      <c r="D29">
        <v>250</v>
      </c>
      <c r="E29">
        <v>500</v>
      </c>
      <c r="F29">
        <v>500</v>
      </c>
      <c r="G29">
        <v>250</v>
      </c>
      <c r="H29">
        <v>500</v>
      </c>
    </row>
    <row r="30" spans="1:8">
      <c r="A30" s="12">
        <v>46338</v>
      </c>
      <c r="B30" s="13">
        <f t="shared" si="0"/>
        <v>316</v>
      </c>
      <c r="C30">
        <v>500</v>
      </c>
      <c r="D30">
        <v>250</v>
      </c>
      <c r="E30">
        <v>500</v>
      </c>
      <c r="F30">
        <v>500</v>
      </c>
      <c r="G30">
        <v>250</v>
      </c>
      <c r="H30">
        <v>500</v>
      </c>
    </row>
    <row r="31" spans="1:8">
      <c r="A31" s="12">
        <v>46339</v>
      </c>
      <c r="B31" s="13">
        <f t="shared" si="0"/>
        <v>317</v>
      </c>
      <c r="C31">
        <v>500</v>
      </c>
      <c r="D31">
        <v>250</v>
      </c>
      <c r="E31">
        <v>500</v>
      </c>
      <c r="F31">
        <v>500</v>
      </c>
      <c r="G31">
        <v>250</v>
      </c>
      <c r="H31">
        <v>500</v>
      </c>
    </row>
    <row r="32" spans="1:8">
      <c r="A32" s="12">
        <v>46340</v>
      </c>
      <c r="B32" s="13">
        <f t="shared" si="0"/>
        <v>318</v>
      </c>
      <c r="C32">
        <v>250</v>
      </c>
      <c r="D32">
        <v>250</v>
      </c>
      <c r="E32">
        <v>500</v>
      </c>
      <c r="F32">
        <v>500</v>
      </c>
      <c r="G32">
        <v>250</v>
      </c>
      <c r="H32">
        <v>500</v>
      </c>
    </row>
    <row r="33" spans="1:8">
      <c r="A33" s="12">
        <v>46341</v>
      </c>
      <c r="B33" s="13">
        <f t="shared" si="0"/>
        <v>319</v>
      </c>
      <c r="C33">
        <v>250</v>
      </c>
      <c r="D33">
        <v>250</v>
      </c>
      <c r="E33">
        <v>500</v>
      </c>
      <c r="F33">
        <v>500</v>
      </c>
      <c r="G33">
        <v>250</v>
      </c>
      <c r="H33">
        <v>500</v>
      </c>
    </row>
    <row r="34" spans="1:8">
      <c r="A34" s="12">
        <v>46342</v>
      </c>
      <c r="B34" s="13">
        <f t="shared" si="0"/>
        <v>320</v>
      </c>
      <c r="C34">
        <v>250</v>
      </c>
      <c r="D34">
        <v>250</v>
      </c>
      <c r="E34">
        <v>500</v>
      </c>
      <c r="F34">
        <v>500</v>
      </c>
      <c r="G34">
        <v>250</v>
      </c>
      <c r="H34">
        <v>500</v>
      </c>
    </row>
    <row r="35" spans="1:8">
      <c r="A35" s="12">
        <v>46343</v>
      </c>
      <c r="B35" s="13">
        <f t="shared" si="0"/>
        <v>321</v>
      </c>
      <c r="C35">
        <v>250</v>
      </c>
      <c r="D35">
        <v>250</v>
      </c>
      <c r="E35">
        <v>500</v>
      </c>
      <c r="F35">
        <v>500</v>
      </c>
      <c r="G35">
        <v>250</v>
      </c>
      <c r="H35">
        <v>500</v>
      </c>
    </row>
    <row r="36" spans="1:8">
      <c r="A36" s="12">
        <v>46344</v>
      </c>
      <c r="B36" s="13">
        <f t="shared" si="0"/>
        <v>322</v>
      </c>
      <c r="C36">
        <v>250</v>
      </c>
      <c r="D36">
        <v>250</v>
      </c>
      <c r="E36">
        <v>500</v>
      </c>
      <c r="F36">
        <v>500</v>
      </c>
      <c r="G36">
        <v>250</v>
      </c>
      <c r="H36">
        <v>500</v>
      </c>
    </row>
    <row r="37" spans="1:8">
      <c r="A37" s="12">
        <v>46345</v>
      </c>
      <c r="B37" s="13">
        <f t="shared" si="0"/>
        <v>323</v>
      </c>
      <c r="C37">
        <v>250</v>
      </c>
      <c r="D37">
        <v>250</v>
      </c>
      <c r="E37">
        <v>500</v>
      </c>
      <c r="F37">
        <v>500</v>
      </c>
      <c r="G37">
        <v>250</v>
      </c>
      <c r="H37">
        <v>500</v>
      </c>
    </row>
    <row r="38" spans="1:8">
      <c r="A38" s="12">
        <v>46346</v>
      </c>
      <c r="B38" s="13">
        <f t="shared" si="0"/>
        <v>324</v>
      </c>
      <c r="C38">
        <v>250</v>
      </c>
      <c r="D38">
        <v>250</v>
      </c>
      <c r="E38">
        <v>500</v>
      </c>
      <c r="F38">
        <v>500</v>
      </c>
      <c r="G38">
        <v>250</v>
      </c>
      <c r="H38">
        <v>500</v>
      </c>
    </row>
    <row r="39" spans="1:8">
      <c r="A39" s="12">
        <v>46347</v>
      </c>
      <c r="B39" s="13">
        <f t="shared" si="0"/>
        <v>325</v>
      </c>
      <c r="C39">
        <v>250</v>
      </c>
      <c r="D39">
        <v>250</v>
      </c>
      <c r="E39">
        <v>500</v>
      </c>
      <c r="F39">
        <v>500</v>
      </c>
      <c r="G39">
        <v>250</v>
      </c>
      <c r="H39">
        <v>500</v>
      </c>
    </row>
    <row r="40" spans="1:8">
      <c r="A40" s="12">
        <v>46348</v>
      </c>
      <c r="B40" s="13">
        <f t="shared" si="0"/>
        <v>326</v>
      </c>
      <c r="C40">
        <v>250</v>
      </c>
      <c r="D40">
        <v>0</v>
      </c>
      <c r="E40">
        <v>500</v>
      </c>
      <c r="F40">
        <v>500</v>
      </c>
      <c r="G40">
        <v>250</v>
      </c>
      <c r="H40">
        <v>500</v>
      </c>
    </row>
    <row r="41" spans="1:8">
      <c r="A41" s="12">
        <v>46349</v>
      </c>
      <c r="B41" s="13">
        <f t="shared" si="0"/>
        <v>327</v>
      </c>
      <c r="C41">
        <v>250</v>
      </c>
      <c r="D41">
        <v>0</v>
      </c>
      <c r="E41">
        <v>500</v>
      </c>
      <c r="F41">
        <v>500</v>
      </c>
      <c r="G41">
        <v>250</v>
      </c>
      <c r="H41">
        <v>500</v>
      </c>
    </row>
    <row r="42" spans="1:8">
      <c r="A42" s="12">
        <v>46350</v>
      </c>
      <c r="B42" s="13">
        <f t="shared" si="0"/>
        <v>328</v>
      </c>
      <c r="C42">
        <v>250</v>
      </c>
      <c r="D42">
        <v>0</v>
      </c>
      <c r="E42">
        <v>500</v>
      </c>
      <c r="F42">
        <v>500</v>
      </c>
      <c r="G42">
        <v>250</v>
      </c>
      <c r="H42">
        <v>500</v>
      </c>
    </row>
    <row r="43" spans="1:8">
      <c r="A43" s="12">
        <v>46351</v>
      </c>
      <c r="B43" s="13">
        <f t="shared" si="0"/>
        <v>329</v>
      </c>
      <c r="C43">
        <v>250</v>
      </c>
      <c r="D43">
        <v>0</v>
      </c>
      <c r="E43">
        <v>500</v>
      </c>
      <c r="F43">
        <v>500</v>
      </c>
      <c r="G43">
        <v>250</v>
      </c>
      <c r="H43">
        <v>500</v>
      </c>
    </row>
    <row r="44" spans="1:8">
      <c r="A44" s="12">
        <v>46352</v>
      </c>
      <c r="B44" s="13">
        <f t="shared" si="0"/>
        <v>330</v>
      </c>
      <c r="C44">
        <v>250</v>
      </c>
      <c r="D44">
        <v>0</v>
      </c>
      <c r="E44">
        <v>500</v>
      </c>
      <c r="F44">
        <v>500</v>
      </c>
      <c r="G44">
        <v>250</v>
      </c>
      <c r="H44">
        <v>500</v>
      </c>
    </row>
    <row r="45" spans="1:8">
      <c r="A45" s="12">
        <v>46353</v>
      </c>
      <c r="B45" s="13">
        <f t="shared" si="0"/>
        <v>331</v>
      </c>
      <c r="C45">
        <v>250</v>
      </c>
      <c r="D45">
        <v>0</v>
      </c>
      <c r="E45">
        <v>500</v>
      </c>
      <c r="F45">
        <v>500</v>
      </c>
      <c r="G45">
        <v>250</v>
      </c>
      <c r="H45">
        <v>500</v>
      </c>
    </row>
    <row r="46" spans="1:8">
      <c r="A46" s="12">
        <v>46354</v>
      </c>
      <c r="B46" s="13">
        <f t="shared" si="0"/>
        <v>332</v>
      </c>
      <c r="C46">
        <v>250</v>
      </c>
      <c r="D46">
        <v>0</v>
      </c>
      <c r="E46">
        <v>500</v>
      </c>
      <c r="F46">
        <v>500</v>
      </c>
      <c r="G46">
        <v>250</v>
      </c>
      <c r="H46">
        <v>500</v>
      </c>
    </row>
    <row r="47" spans="1:8">
      <c r="A47" s="12">
        <v>46355</v>
      </c>
      <c r="B47" s="13">
        <f t="shared" si="0"/>
        <v>333</v>
      </c>
      <c r="C47">
        <v>250</v>
      </c>
      <c r="D47">
        <v>0</v>
      </c>
      <c r="E47">
        <v>500</v>
      </c>
      <c r="F47">
        <v>500</v>
      </c>
      <c r="G47">
        <v>250</v>
      </c>
      <c r="H47">
        <v>500</v>
      </c>
    </row>
    <row r="48" spans="1:8">
      <c r="A48" s="12">
        <v>46356</v>
      </c>
      <c r="B48" s="13">
        <f t="shared" si="0"/>
        <v>334</v>
      </c>
      <c r="C48">
        <v>250</v>
      </c>
      <c r="D48">
        <v>0</v>
      </c>
      <c r="E48">
        <v>500</v>
      </c>
      <c r="F48">
        <v>500</v>
      </c>
      <c r="G48">
        <v>250</v>
      </c>
      <c r="H48">
        <v>500</v>
      </c>
    </row>
    <row r="49" spans="1:6">
      <c r="A49" s="12">
        <v>46357</v>
      </c>
      <c r="B49" s="13">
        <f t="shared" si="0"/>
        <v>335</v>
      </c>
      <c r="C49">
        <v>0</v>
      </c>
      <c r="D49">
        <v>0</v>
      </c>
      <c r="E49">
        <v>0</v>
      </c>
      <c r="F49">
        <v>0</v>
      </c>
    </row>
  </sheetData>
  <phoneticPr fontId="5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288f367-0367-430b-9f59-708a7230f9d0}" enabled="1" method="Standard" siteId="{adc6e70c-c575-40a4-9676-24da4a1fdc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Martinez</dc:creator>
  <cp:lastModifiedBy>Vanessa Martinez</cp:lastModifiedBy>
  <dcterms:created xsi:type="dcterms:W3CDTF">2026-09-21T18:43:22Z</dcterms:created>
  <dcterms:modified xsi:type="dcterms:W3CDTF">2026-09-30T18:01:49Z</dcterms:modified>
</cp:coreProperties>
</file>